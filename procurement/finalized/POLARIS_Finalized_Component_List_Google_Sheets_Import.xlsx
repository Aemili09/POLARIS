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re BOM" sheetId="2" state="visible" r:id="rId2"/>
    <sheet xmlns:r="http://schemas.openxmlformats.org/officeDocument/2006/relationships" name="Optional and spares" sheetId="3" state="visible" r:id="rId3"/>
    <sheet xmlns:r="http://schemas.openxmlformats.org/officeDocument/2006/relationships" name="Changes vs previous list" sheetId="4" state="visible" r:id="rId4"/>
    <sheet xmlns:r="http://schemas.openxmlformats.org/officeDocument/2006/relationships" name="Connections" sheetId="5" state="visible" r:id="rId5"/>
    <sheet xmlns:r="http://schemas.openxmlformats.org/officeDocument/2006/relationships" name="Purchase gates" sheetId="6" state="visible" r:id="rId6"/>
    <sheet xmlns:r="http://schemas.openxmlformats.org/officeDocument/2006/relationships" name="Supplier searches" sheetId="7" state="visible" r:id="rId7"/>
    <sheet xmlns:r="http://schemas.openxmlformats.org/officeDocument/2006/relationships" name="Actual quotes" sheetId="8" state="visible" r:id="rId8"/>
  </sheets>
  <definedNames>
    <definedName name="_xlnm._FilterDatabase" localSheetId="1" hidden="1">'Core BOM'!$A$1:$I$39</definedName>
    <definedName name="_xlnm._FilterDatabase" localSheetId="2" hidden="1">'Optional and spares'!$A$1:$E$14</definedName>
    <definedName name="_xlnm._FilterDatabase" localSheetId="3" hidden="1">'Changes vs previous list'!$A$1:$E$39</definedName>
    <definedName name="_xlnm._FilterDatabase" localSheetId="4" hidden="1">'Connections'!$A$1:$D$19</definedName>
    <definedName name="_xlnm._FilterDatabase" localSheetId="5" hidden="1">'Purchase gates'!$A$1:$D$10</definedName>
    <definedName name="_xlnm._FilterDatabase" localSheetId="6" hidden="1">'Supplier searches'!$A$1:$H$39</definedName>
    <definedName name="_xlnm._FilterDatabase" localSheetId="7" hidden="1">'Actual quotes'!$A$1:$H$39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EF4F7"/>
      </patternFill>
    </fill>
    <fill>
      <patternFill patternType="solid">
        <fgColor rgb="00FFF0CC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site%3Aelectronicscomp.com+Arduino+Uno+R3+ATmega328P" TargetMode="External" Id="rId1"/><Relationship Type="http://schemas.openxmlformats.org/officeDocument/2006/relationships/hyperlink" Target="https://www.google.com/search?q=site%3Arobocraze.com+Arduino+Uno+R3+ATmega328P" TargetMode="External" Id="rId2"/><Relationship Type="http://schemas.openxmlformats.org/officeDocument/2006/relationships/hyperlink" Target="https://www.google.com/search?q=site%3Aquartzcomponents.com+Arduino+Uno+R3+ATmega328P" TargetMode="External" Id="rId3"/><Relationship Type="http://schemas.openxmlformats.org/officeDocument/2006/relationships/hyperlink" Target="https://www.google.com/search?q=site%3Aflyrobo.in+Arduino+Uno+R3+ATmega328P" TargetMode="External" Id="rId4"/><Relationship Type="http://schemas.openxmlformats.org/officeDocument/2006/relationships/hyperlink" Target="https://www.google.com/search?q=site%3Aevelta.com+Arduino+Uno+R3+ATmega328P" TargetMode="External" Id="rId5"/><Relationship Type="http://schemas.openxmlformats.org/officeDocument/2006/relationships/hyperlink" Target="https://www.google.com/search?q=site%3Aelectronicscomp.com+A4988+carrier+with+heatsink" TargetMode="External" Id="rId6"/><Relationship Type="http://schemas.openxmlformats.org/officeDocument/2006/relationships/hyperlink" Target="https://www.google.com/search?q=site%3Arobocraze.com+A4988+carrier+with+heatsink" TargetMode="External" Id="rId7"/><Relationship Type="http://schemas.openxmlformats.org/officeDocument/2006/relationships/hyperlink" Target="https://www.google.com/search?q=site%3Aquartzcomponents.com+A4988+carrier+with+heatsink" TargetMode="External" Id="rId8"/><Relationship Type="http://schemas.openxmlformats.org/officeDocument/2006/relationships/hyperlink" Target="https://www.google.com/search?q=site%3Aflyrobo.in+A4988+carrier+with+heatsink" TargetMode="External" Id="rId9"/><Relationship Type="http://schemas.openxmlformats.org/officeDocument/2006/relationships/hyperlink" Target="https://www.google.com/search?q=site%3Aevelta.com+A4988+carrier+with+heatsink" TargetMode="External" Id="rId10"/><Relationship Type="http://schemas.openxmlformats.org/officeDocument/2006/relationships/hyperlink" Target="https://www.google.com/search?q=site%3Aelectronicscomp.com+NEMA17+4-wire+bipolar+stepper%3B+17HS4401+candidate" TargetMode="External" Id="rId11"/><Relationship Type="http://schemas.openxmlformats.org/officeDocument/2006/relationships/hyperlink" Target="https://www.google.com/search?q=site%3Arobocraze.com+NEMA17+4-wire+bipolar+stepper%3B+17HS4401+candidate" TargetMode="External" Id="rId12"/><Relationship Type="http://schemas.openxmlformats.org/officeDocument/2006/relationships/hyperlink" Target="https://www.google.com/search?q=site%3Aquartzcomponents.com+NEMA17+4-wire+bipolar+stepper%3B+17HS4401+candidate" TargetMode="External" Id="rId13"/><Relationship Type="http://schemas.openxmlformats.org/officeDocument/2006/relationships/hyperlink" Target="https://www.google.com/search?q=site%3Aflyrobo.in+NEMA17+4-wire+bipolar+stepper%3B+17HS4401+candidate" TargetMode="External" Id="rId14"/><Relationship Type="http://schemas.openxmlformats.org/officeDocument/2006/relationships/hyperlink" Target="https://www.google.com/search?q=site%3Aevelta.com+NEMA17+4-wire+bipolar+stepper%3B+17HS4401+candidate" TargetMode="External" Id="rId15"/><Relationship Type="http://schemas.openxmlformats.org/officeDocument/2006/relationships/hyperlink" Target="https://www.google.com/search?q=site%3Aelectronicscomp.com+UVC+USB+camera%3B+Logitech+C270+candidate+only" TargetMode="External" Id="rId16"/><Relationship Type="http://schemas.openxmlformats.org/officeDocument/2006/relationships/hyperlink" Target="https://www.google.com/search?q=site%3Arobocraze.com+UVC+USB+camera%3B+Logitech+C270+candidate+only" TargetMode="External" Id="rId17"/><Relationship Type="http://schemas.openxmlformats.org/officeDocument/2006/relationships/hyperlink" Target="https://www.google.com/search?q=site%3Aquartzcomponents.com+UVC+USB+camera%3B+Logitech+C270+candidate+only" TargetMode="External" Id="rId18"/><Relationship Type="http://schemas.openxmlformats.org/officeDocument/2006/relationships/hyperlink" Target="https://www.google.com/search?q=site%3Aflyrobo.in+UVC+USB+camera%3B+Logitech+C270+candidate+only" TargetMode="External" Id="rId19"/><Relationship Type="http://schemas.openxmlformats.org/officeDocument/2006/relationships/hyperlink" Target="https://www.google.com/search?q=site%3Aevelta.com+UVC+USB+camera%3B+Logitech+C270+candidate+only" TargetMode="External" Id="rId20"/><Relationship Type="http://schemas.openxmlformats.org/officeDocument/2006/relationships/hyperlink" Target="https://www.google.com/search?q=site%3Aelectronicscomp.com+Isolated+regulated+12+V+DC+%2F+3+A+enclosed+adapter" TargetMode="External" Id="rId21"/><Relationship Type="http://schemas.openxmlformats.org/officeDocument/2006/relationships/hyperlink" Target="https://www.google.com/search?q=site%3Arobocraze.com+Isolated+regulated+12+V+DC+%2F+3+A+enclosed+adapter" TargetMode="External" Id="rId22"/><Relationship Type="http://schemas.openxmlformats.org/officeDocument/2006/relationships/hyperlink" Target="https://www.google.com/search?q=site%3Aquartzcomponents.com+Isolated+regulated+12+V+DC+%2F+3+A+enclosed+adapter" TargetMode="External" Id="rId23"/><Relationship Type="http://schemas.openxmlformats.org/officeDocument/2006/relationships/hyperlink" Target="https://www.google.com/search?q=site%3Aflyrobo.in+Isolated+regulated+12+V+DC+%2F+3+A+enclosed+adapter" TargetMode="External" Id="rId24"/><Relationship Type="http://schemas.openxmlformats.org/officeDocument/2006/relationships/hyperlink" Target="https://www.google.com/search?q=site%3Aevelta.com+Isolated+regulated+12+V+DC+%2F+3+A+enclosed+adapter" TargetMode="External" Id="rId25"/><Relationship Type="http://schemas.openxmlformats.org/officeDocument/2006/relationships/hyperlink" Target="https://www.google.com/search?q=site%3Aelectronicscomp.com+FQP30N06L+logic-level+N-channel+MOSFET" TargetMode="External" Id="rId26"/><Relationship Type="http://schemas.openxmlformats.org/officeDocument/2006/relationships/hyperlink" Target="https://www.google.com/search?q=site%3Arobocraze.com+FQP30N06L+logic-level+N-channel+MOSFET" TargetMode="External" Id="rId27"/><Relationship Type="http://schemas.openxmlformats.org/officeDocument/2006/relationships/hyperlink" Target="https://www.google.com/search?q=site%3Aquartzcomponents.com+FQP30N06L+logic-level+N-channel+MOSFET" TargetMode="External" Id="rId28"/><Relationship Type="http://schemas.openxmlformats.org/officeDocument/2006/relationships/hyperlink" Target="https://www.google.com/search?q=site%3Aflyrobo.in+FQP30N06L+logic-level+N-channel+MOSFET" TargetMode="External" Id="rId29"/><Relationship Type="http://schemas.openxmlformats.org/officeDocument/2006/relationships/hyperlink" Target="https://www.google.com/search?q=site%3Aevelta.com+FQP30N06L+logic-level+N-channel+MOSFET" TargetMode="External" Id="rId30"/><Relationship Type="http://schemas.openxmlformats.org/officeDocument/2006/relationships/hyperlink" Target="https://www.google.com/search?q=site%3Aelectronicscomp.com+SPDT+lever+microswitch%3B+Omron+SS-5GL+candidate" TargetMode="External" Id="rId31"/><Relationship Type="http://schemas.openxmlformats.org/officeDocument/2006/relationships/hyperlink" Target="https://www.google.com/search?q=site%3Arobocraze.com+SPDT+lever+microswitch%3B+Omron+SS-5GL+candidate" TargetMode="External" Id="rId32"/><Relationship Type="http://schemas.openxmlformats.org/officeDocument/2006/relationships/hyperlink" Target="https://www.google.com/search?q=site%3Aquartzcomponents.com+SPDT+lever+microswitch%3B+Omron+SS-5GL+candidate" TargetMode="External" Id="rId33"/><Relationship Type="http://schemas.openxmlformats.org/officeDocument/2006/relationships/hyperlink" Target="https://www.google.com/search?q=site%3Aflyrobo.in+SPDT+lever+microswitch%3B+Omron+SS-5GL+candidate" TargetMode="External" Id="rId34"/><Relationship Type="http://schemas.openxmlformats.org/officeDocument/2006/relationships/hyperlink" Target="https://www.google.com/search?q=site%3Aevelta.com+SPDT+lever+microswitch%3B+Omron+SS-5GL+candidate" TargetMode="External" Id="rId35"/><Relationship Type="http://schemas.openxmlformats.org/officeDocument/2006/relationships/hyperlink" Target="https://www.google.com/search?q=site%3Aelectronicscomp.com+Visible+linear+polarizing+film+%28P1+and+P2%29" TargetMode="External" Id="rId36"/><Relationship Type="http://schemas.openxmlformats.org/officeDocument/2006/relationships/hyperlink" Target="https://www.google.com/search?q=site%3Arobocraze.com+Visible+linear+polarizing+film+%28P1+and+P2%29" TargetMode="External" Id="rId37"/><Relationship Type="http://schemas.openxmlformats.org/officeDocument/2006/relationships/hyperlink" Target="https://www.google.com/search?q=site%3Aquartzcomponents.com+Visible+linear+polarizing+film+%28P1+and+P2%29" TargetMode="External" Id="rId38"/><Relationship Type="http://schemas.openxmlformats.org/officeDocument/2006/relationships/hyperlink" Target="https://www.google.com/search?q=site%3Aflyrobo.in+Visible+linear+polarizing+film+%28P1+and+P2%29" TargetMode="External" Id="rId39"/><Relationship Type="http://schemas.openxmlformats.org/officeDocument/2006/relationships/hyperlink" Target="https://www.google.com/search?q=site%3Aevelta.com+Visible+linear+polarizing+film+%28P1+and+P2%29" TargetMode="External" Id="rId40"/><Relationship Type="http://schemas.openxmlformats.org/officeDocument/2006/relationships/hyperlink" Target="https://www.google.com/search?q=site%3Aelectronicscomp.com+12+V+diffused+white+LED+backlight+panel" TargetMode="External" Id="rId41"/><Relationship Type="http://schemas.openxmlformats.org/officeDocument/2006/relationships/hyperlink" Target="https://www.google.com/search?q=site%3Arobocraze.com+12+V+diffused+white+LED+backlight+panel" TargetMode="External" Id="rId42"/><Relationship Type="http://schemas.openxmlformats.org/officeDocument/2006/relationships/hyperlink" Target="https://www.google.com/search?q=site%3Aquartzcomponents.com+12+V+diffused+white+LED+backlight+panel" TargetMode="External" Id="rId43"/><Relationship Type="http://schemas.openxmlformats.org/officeDocument/2006/relationships/hyperlink" Target="https://www.google.com/search?q=site%3Aflyrobo.in+12+V+diffused+white+LED+backlight+panel" TargetMode="External" Id="rId44"/><Relationship Type="http://schemas.openxmlformats.org/officeDocument/2006/relationships/hyperlink" Target="https://www.google.com/search?q=site%3Aevelta.com+12+V+diffused+white+LED+backlight+panel" TargetMode="External" Id="rId45"/><Relationship Type="http://schemas.openxmlformats.org/officeDocument/2006/relationships/hyperlink" Target="https://www.google.com/search?q=site%3Aelectronicscomp.com+Fixed+P1+polarizer+frame" TargetMode="External" Id="rId46"/><Relationship Type="http://schemas.openxmlformats.org/officeDocument/2006/relationships/hyperlink" Target="https://www.google.com/search?q=site%3Arobocraze.com+Fixed+P1+polarizer+frame" TargetMode="External" Id="rId47"/><Relationship Type="http://schemas.openxmlformats.org/officeDocument/2006/relationships/hyperlink" Target="https://www.google.com/search?q=site%3Aquartzcomponents.com+Fixed+P1+polarizer+frame" TargetMode="External" Id="rId48"/><Relationship Type="http://schemas.openxmlformats.org/officeDocument/2006/relationships/hyperlink" Target="https://www.google.com/search?q=site%3Aflyrobo.in+Fixed+P1+polarizer+frame" TargetMode="External" Id="rId49"/><Relationship Type="http://schemas.openxmlformats.org/officeDocument/2006/relationships/hyperlink" Target="https://www.google.com/search?q=site%3Aevelta.com+Fixed+P1+polarizer+frame" TargetMode="External" Id="rId50"/><Relationship Type="http://schemas.openxmlformats.org/officeDocument/2006/relationships/hyperlink" Target="https://www.google.com/search?q=site%3Aelectronicscomp.com+Custom+80T+GT2+annular+analyzer+ring+AND+P2+holder" TargetMode="External" Id="rId51"/><Relationship Type="http://schemas.openxmlformats.org/officeDocument/2006/relationships/hyperlink" Target="https://www.google.com/search?q=site%3Arobocraze.com+Custom+80T+GT2+annular+analyzer+ring+AND+P2+holder" TargetMode="External" Id="rId52"/><Relationship Type="http://schemas.openxmlformats.org/officeDocument/2006/relationships/hyperlink" Target="https://www.google.com/search?q=site%3Aquartzcomponents.com+Custom+80T+GT2+annular+analyzer+ring+AND+P2+holder" TargetMode="External" Id="rId53"/><Relationship Type="http://schemas.openxmlformats.org/officeDocument/2006/relationships/hyperlink" Target="https://www.google.com/search?q=site%3Aflyrobo.in+Custom+80T+GT2+annular+analyzer+ring+AND+P2+holder" TargetMode="External" Id="rId54"/><Relationship Type="http://schemas.openxmlformats.org/officeDocument/2006/relationships/hyperlink" Target="https://www.google.com/search?q=site%3Aevelta.com+Custom+80T+GT2+annular+analyzer+ring+AND+P2+holder" TargetMode="External" Id="rId55"/><Relationship Type="http://schemas.openxmlformats.org/officeDocument/2006/relationships/hyperlink" Target="https://www.google.com/search?q=site%3Aelectronicscomp.com+GT2+closed-loop+timing+belt" TargetMode="External" Id="rId56"/><Relationship Type="http://schemas.openxmlformats.org/officeDocument/2006/relationships/hyperlink" Target="https://www.google.com/search?q=site%3Arobocraze.com+GT2+closed-loop+timing+belt" TargetMode="External" Id="rId57"/><Relationship Type="http://schemas.openxmlformats.org/officeDocument/2006/relationships/hyperlink" Target="https://www.google.com/search?q=site%3Aquartzcomponents.com+GT2+closed-loop+timing+belt" TargetMode="External" Id="rId58"/><Relationship Type="http://schemas.openxmlformats.org/officeDocument/2006/relationships/hyperlink" Target="https://www.google.com/search?q=site%3Aflyrobo.in+GT2+closed-loop+timing+belt" TargetMode="External" Id="rId59"/><Relationship Type="http://schemas.openxmlformats.org/officeDocument/2006/relationships/hyperlink" Target="https://www.google.com/search?q=site%3Aevelta.com+GT2+closed-loop+timing+belt" TargetMode="External" Id="rId60"/><Relationship Type="http://schemas.openxmlformats.org/officeDocument/2006/relationships/hyperlink" Target="https://www.google.com/search?q=site%3Aelectronicscomp.com+GT2+20T+motor+pulley" TargetMode="External" Id="rId61"/><Relationship Type="http://schemas.openxmlformats.org/officeDocument/2006/relationships/hyperlink" Target="https://www.google.com/search?q=site%3Arobocraze.com+GT2+20T+motor+pulley" TargetMode="External" Id="rId62"/><Relationship Type="http://schemas.openxmlformats.org/officeDocument/2006/relationships/hyperlink" Target="https://www.google.com/search?q=site%3Aquartzcomponents.com+GT2+20T+motor+pulley" TargetMode="External" Id="rId63"/><Relationship Type="http://schemas.openxmlformats.org/officeDocument/2006/relationships/hyperlink" Target="https://www.google.com/search?q=site%3Aflyrobo.in+GT2+20T+motor+pulley" TargetMode="External" Id="rId64"/><Relationship Type="http://schemas.openxmlformats.org/officeDocument/2006/relationships/hyperlink" Target="https://www.google.com/search?q=site%3Aevelta.com+GT2+20T+motor+pulley" TargetMode="External" Id="rId65"/><Relationship Type="http://schemas.openxmlformats.org/officeDocument/2006/relationships/hyperlink" Target="https://www.google.com/search?q=site%3Aelectronicscomp.com+Bearing+%2F+roller+support+for+analyzer+ring" TargetMode="External" Id="rId66"/><Relationship Type="http://schemas.openxmlformats.org/officeDocument/2006/relationships/hyperlink" Target="https://www.google.com/search?q=site%3Arobocraze.com+Bearing+%2F+roller+support+for+analyzer+ring" TargetMode="External" Id="rId67"/><Relationship Type="http://schemas.openxmlformats.org/officeDocument/2006/relationships/hyperlink" Target="https://www.google.com/search?q=site%3Aquartzcomponents.com+Bearing+%2F+roller+support+for+analyzer+ring" TargetMode="External" Id="rId68"/><Relationship Type="http://schemas.openxmlformats.org/officeDocument/2006/relationships/hyperlink" Target="https://www.google.com/search?q=site%3Aflyrobo.in+Bearing+%2F+roller+support+for+analyzer+ring" TargetMode="External" Id="rId69"/><Relationship Type="http://schemas.openxmlformats.org/officeDocument/2006/relationships/hyperlink" Target="https://www.google.com/search?q=site%3Aevelta.com+Bearing+%2F+roller+support+for+analyzer+ring" TargetMode="External" Id="rId70"/><Relationship Type="http://schemas.openxmlformats.org/officeDocument/2006/relationships/hyperlink" Target="https://www.google.com/search?q=site%3Aelectronicscomp.com+NEMA17+adjustable+mounting+bracket" TargetMode="External" Id="rId71"/><Relationship Type="http://schemas.openxmlformats.org/officeDocument/2006/relationships/hyperlink" Target="https://www.google.com/search?q=site%3Arobocraze.com+NEMA17+adjustable+mounting+bracket" TargetMode="External" Id="rId72"/><Relationship Type="http://schemas.openxmlformats.org/officeDocument/2006/relationships/hyperlink" Target="https://www.google.com/search?q=site%3Aquartzcomponents.com+NEMA17+adjustable+mounting+bracket" TargetMode="External" Id="rId73"/><Relationship Type="http://schemas.openxmlformats.org/officeDocument/2006/relationships/hyperlink" Target="https://www.google.com/search?q=site%3Aflyrobo.in+NEMA17+adjustable+mounting+bracket" TargetMode="External" Id="rId74"/><Relationship Type="http://schemas.openxmlformats.org/officeDocument/2006/relationships/hyperlink" Target="https://www.google.com/search?q=site%3Aevelta.com+NEMA17+adjustable+mounting+bracket" TargetMode="External" Id="rId75"/><Relationship Type="http://schemas.openxmlformats.org/officeDocument/2006/relationships/hyperlink" Target="https://www.google.com/search?q=site%3Aelectronicscomp.com+Home-switch+bracket+and+ring+actuator%2Fcam" TargetMode="External" Id="rId76"/><Relationship Type="http://schemas.openxmlformats.org/officeDocument/2006/relationships/hyperlink" Target="https://www.google.com/search?q=site%3Arobocraze.com+Home-switch+bracket+and+ring+actuator%2Fcam" TargetMode="External" Id="rId77"/><Relationship Type="http://schemas.openxmlformats.org/officeDocument/2006/relationships/hyperlink" Target="https://www.google.com/search?q=site%3Aquartzcomponents.com+Home-switch+bracket+and+ring+actuator%2Fcam" TargetMode="External" Id="rId78"/><Relationship Type="http://schemas.openxmlformats.org/officeDocument/2006/relationships/hyperlink" Target="https://www.google.com/search?q=site%3Aflyrobo.in+Home-switch+bracket+and+ring+actuator%2Fcam" TargetMode="External" Id="rId79"/><Relationship Type="http://schemas.openxmlformats.org/officeDocument/2006/relationships/hyperlink" Target="https://www.google.com/search?q=site%3Aevelta.com+Home-switch+bracket+and+ring+actuator%2Fcam" TargetMode="External" Id="rId80"/><Relationship Type="http://schemas.openxmlformats.org/officeDocument/2006/relationships/hyperlink" Target="https://www.google.com/search?q=site%3Aelectronicscomp.com+Rigid+adjustable+camera+mount" TargetMode="External" Id="rId81"/><Relationship Type="http://schemas.openxmlformats.org/officeDocument/2006/relationships/hyperlink" Target="https://www.google.com/search?q=site%3Arobocraze.com+Rigid+adjustable+camera+mount" TargetMode="External" Id="rId82"/><Relationship Type="http://schemas.openxmlformats.org/officeDocument/2006/relationships/hyperlink" Target="https://www.google.com/search?q=site%3Aquartzcomponents.com+Rigid+adjustable+camera+mount" TargetMode="External" Id="rId83"/><Relationship Type="http://schemas.openxmlformats.org/officeDocument/2006/relationships/hyperlink" Target="https://www.google.com/search?q=site%3Aflyrobo.in+Rigid+adjustable+camera+mount" TargetMode="External" Id="rId84"/><Relationship Type="http://schemas.openxmlformats.org/officeDocument/2006/relationships/hyperlink" Target="https://www.google.com/search?q=site%3Aevelta.com+Rigid+adjustable+camera+mount" TargetMode="External" Id="rId85"/><Relationship Type="http://schemas.openxmlformats.org/officeDocument/2006/relationships/hyperlink" Target="https://www.google.com/search?q=site%3Aelectronicscomp.com+Specimen+holder+with+two+gentle+edge+supports" TargetMode="External" Id="rId86"/><Relationship Type="http://schemas.openxmlformats.org/officeDocument/2006/relationships/hyperlink" Target="https://www.google.com/search?q=site%3Arobocraze.com+Specimen+holder+with+two+gentle+edge+supports" TargetMode="External" Id="rId87"/><Relationship Type="http://schemas.openxmlformats.org/officeDocument/2006/relationships/hyperlink" Target="https://www.google.com/search?q=site%3Aquartzcomponents.com+Specimen+holder+with+two+gentle+edge+supports" TargetMode="External" Id="rId88"/><Relationship Type="http://schemas.openxmlformats.org/officeDocument/2006/relationships/hyperlink" Target="https://www.google.com/search?q=site%3Aflyrobo.in+Specimen+holder+with+two+gentle+edge+supports" TargetMode="External" Id="rId89"/><Relationship Type="http://schemas.openxmlformats.org/officeDocument/2006/relationships/hyperlink" Target="https://www.google.com/search?q=site%3Aevelta.com+Specimen+holder+with+two+gentle+edge+supports" TargetMode="External" Id="rId90"/><Relationship Type="http://schemas.openxmlformats.org/officeDocument/2006/relationships/hyperlink" Target="https://www.google.com/search?q=site%3Aelectronicscomp.com+Backlight%2Fdiffuser+support" TargetMode="External" Id="rId91"/><Relationship Type="http://schemas.openxmlformats.org/officeDocument/2006/relationships/hyperlink" Target="https://www.google.com/search?q=site%3Arobocraze.com+Backlight%2Fdiffuser+support" TargetMode="External" Id="rId92"/><Relationship Type="http://schemas.openxmlformats.org/officeDocument/2006/relationships/hyperlink" Target="https://www.google.com/search?q=site%3Aquartzcomponents.com+Backlight%2Fdiffuser+support" TargetMode="External" Id="rId93"/><Relationship Type="http://schemas.openxmlformats.org/officeDocument/2006/relationships/hyperlink" Target="https://www.google.com/search?q=site%3Aflyrobo.in+Backlight%2Fdiffuser+support" TargetMode="External" Id="rId94"/><Relationship Type="http://schemas.openxmlformats.org/officeDocument/2006/relationships/hyperlink" Target="https://www.google.com/search?q=site%3Aevelta.com+Backlight%2Fdiffuser+support" TargetMode="External" Id="rId95"/><Relationship Type="http://schemas.openxmlformats.org/officeDocument/2006/relationships/hyperlink" Target="https://www.google.com/search?q=site%3Aelectronicscomp.com+Rigid+optical+base+%2F+rail" TargetMode="External" Id="rId96"/><Relationship Type="http://schemas.openxmlformats.org/officeDocument/2006/relationships/hyperlink" Target="https://www.google.com/search?q=site%3Arobocraze.com+Rigid+optical+base+%2F+rail" TargetMode="External" Id="rId97"/><Relationship Type="http://schemas.openxmlformats.org/officeDocument/2006/relationships/hyperlink" Target="https://www.google.com/search?q=site%3Aquartzcomponents.com+Rigid+optical+base+%2F+rail" TargetMode="External" Id="rId98"/><Relationship Type="http://schemas.openxmlformats.org/officeDocument/2006/relationships/hyperlink" Target="https://www.google.com/search?q=site%3Aflyrobo.in+Rigid+optical+base+%2F+rail" TargetMode="External" Id="rId99"/><Relationship Type="http://schemas.openxmlformats.org/officeDocument/2006/relationships/hyperlink" Target="https://www.google.com/search?q=site%3Aevelta.com+Rigid+optical+base+%2F+rail" TargetMode="External" Id="rId100"/><Relationship Type="http://schemas.openxmlformats.org/officeDocument/2006/relationships/hyperlink" Target="https://www.google.com/search?q=site%3Aelectronicscomp.com+M3%2FM4+fasteners%2C+washers%2C+standoffs" TargetMode="External" Id="rId101"/><Relationship Type="http://schemas.openxmlformats.org/officeDocument/2006/relationships/hyperlink" Target="https://www.google.com/search?q=site%3Arobocraze.com+M3%2FM4+fasteners%2C+washers%2C+standoffs" TargetMode="External" Id="rId102"/><Relationship Type="http://schemas.openxmlformats.org/officeDocument/2006/relationships/hyperlink" Target="https://www.google.com/search?q=site%3Aquartzcomponents.com+M3%2FM4+fasteners%2C+washers%2C+standoffs" TargetMode="External" Id="rId103"/><Relationship Type="http://schemas.openxmlformats.org/officeDocument/2006/relationships/hyperlink" Target="https://www.google.com/search?q=site%3Aflyrobo.in+M3%2FM4+fasteners%2C+washers%2C+standoffs" TargetMode="External" Id="rId104"/><Relationship Type="http://schemas.openxmlformats.org/officeDocument/2006/relationships/hyperlink" Target="https://www.google.com/search?q=site%3Aevelta.com+M3%2FM4+fasteners%2C+washers%2C+standoffs" TargetMode="External" Id="rId105"/><Relationship Type="http://schemas.openxmlformats.org/officeDocument/2006/relationships/hyperlink" Target="https://www.google.com/search?q=site%3Aelectronicscomp.com+10+k%CE%A9+1%2F4+W+1%25+metal-film+resistor" TargetMode="External" Id="rId106"/><Relationship Type="http://schemas.openxmlformats.org/officeDocument/2006/relationships/hyperlink" Target="https://www.google.com/search?q=site%3Arobocraze.com+10+k%CE%A9+1%2F4+W+1%25+metal-film+resistor" TargetMode="External" Id="rId107"/><Relationship Type="http://schemas.openxmlformats.org/officeDocument/2006/relationships/hyperlink" Target="https://www.google.com/search?q=site%3Aquartzcomponents.com+10+k%CE%A9+1%2F4+W+1%25+metal-film+resistor" TargetMode="External" Id="rId108"/><Relationship Type="http://schemas.openxmlformats.org/officeDocument/2006/relationships/hyperlink" Target="https://www.google.com/search?q=site%3Aflyrobo.in+10+k%CE%A9+1%2F4+W+1%25+metal-film+resistor" TargetMode="External" Id="rId109"/><Relationship Type="http://schemas.openxmlformats.org/officeDocument/2006/relationships/hyperlink" Target="https://www.google.com/search?q=site%3Aevelta.com+10+k%CE%A9+1%2F4+W+1%25+metal-film+resistor" TargetMode="External" Id="rId110"/><Relationship Type="http://schemas.openxmlformats.org/officeDocument/2006/relationships/hyperlink" Target="https://www.google.com/search?q=site%3Aelectronicscomp.com+4.7+k%CE%A9+1%2F4+W+1%25+metal-film+resistor" TargetMode="External" Id="rId111"/><Relationship Type="http://schemas.openxmlformats.org/officeDocument/2006/relationships/hyperlink" Target="https://www.google.com/search?q=site%3Arobocraze.com+4.7+k%CE%A9+1%2F4+W+1%25+metal-film+resistor" TargetMode="External" Id="rId112"/><Relationship Type="http://schemas.openxmlformats.org/officeDocument/2006/relationships/hyperlink" Target="https://www.google.com/search?q=site%3Aquartzcomponents.com+4.7+k%CE%A9+1%2F4+W+1%25+metal-film+resistor" TargetMode="External" Id="rId113"/><Relationship Type="http://schemas.openxmlformats.org/officeDocument/2006/relationships/hyperlink" Target="https://www.google.com/search?q=site%3Aflyrobo.in+4.7+k%CE%A9+1%2F4+W+1%25+metal-film+resistor" TargetMode="External" Id="rId114"/><Relationship Type="http://schemas.openxmlformats.org/officeDocument/2006/relationships/hyperlink" Target="https://www.google.com/search?q=site%3Aevelta.com+4.7+k%CE%A9+1%2F4+W+1%25+metal-film+resistor" TargetMode="External" Id="rId115"/><Relationship Type="http://schemas.openxmlformats.org/officeDocument/2006/relationships/hyperlink" Target="https://www.google.com/search?q=site%3Aelectronicscomp.com+100+%CE%A9+1%2F4+W+1%25+metal-film+resistor" TargetMode="External" Id="rId116"/><Relationship Type="http://schemas.openxmlformats.org/officeDocument/2006/relationships/hyperlink" Target="https://www.google.com/search?q=site%3Arobocraze.com+100+%CE%A9+1%2F4+W+1%25+metal-film+resistor" TargetMode="External" Id="rId117"/><Relationship Type="http://schemas.openxmlformats.org/officeDocument/2006/relationships/hyperlink" Target="https://www.google.com/search?q=site%3Aquartzcomponents.com+100+%CE%A9+1%2F4+W+1%25+metal-film+resistor" TargetMode="External" Id="rId118"/><Relationship Type="http://schemas.openxmlformats.org/officeDocument/2006/relationships/hyperlink" Target="https://www.google.com/search?q=site%3Aflyrobo.in+100+%CE%A9+1%2F4+W+1%25+metal-film+resistor" TargetMode="External" Id="rId119"/><Relationship Type="http://schemas.openxmlformats.org/officeDocument/2006/relationships/hyperlink" Target="https://www.google.com/search?q=site%3Aevelta.com+100+%CE%A9+1%2F4+W+1%25+metal-film+resistor" TargetMode="External" Id="rId120"/><Relationship Type="http://schemas.openxmlformats.org/officeDocument/2006/relationships/hyperlink" Target="https://www.google.com/search?q=site%3Aelectronicscomp.com+100+%C2%B5F+35+V+radial+electrolytic+capacitor" TargetMode="External" Id="rId121"/><Relationship Type="http://schemas.openxmlformats.org/officeDocument/2006/relationships/hyperlink" Target="https://www.google.com/search?q=site%3Arobocraze.com+100+%C2%B5F+35+V+radial+electrolytic+capacitor" TargetMode="External" Id="rId122"/><Relationship Type="http://schemas.openxmlformats.org/officeDocument/2006/relationships/hyperlink" Target="https://www.google.com/search?q=site%3Aquartzcomponents.com+100+%C2%B5F+35+V+radial+electrolytic+capacitor" TargetMode="External" Id="rId123"/><Relationship Type="http://schemas.openxmlformats.org/officeDocument/2006/relationships/hyperlink" Target="https://www.google.com/search?q=site%3Aflyrobo.in+100+%C2%B5F+35+V+radial+electrolytic+capacitor" TargetMode="External" Id="rId124"/><Relationship Type="http://schemas.openxmlformats.org/officeDocument/2006/relationships/hyperlink" Target="https://www.google.com/search?q=site%3Aevelta.com+100+%C2%B5F+35+V+radial+electrolytic+capacitor" TargetMode="External" Id="rId125"/><Relationship Type="http://schemas.openxmlformats.org/officeDocument/2006/relationships/hyperlink" Target="https://www.google.com/search?q=site%3Aelectronicscomp.com+100+nF+%2F+0.1+%C2%B5F+50+V+X7R+ceramic+capacitor" TargetMode="External" Id="rId126"/><Relationship Type="http://schemas.openxmlformats.org/officeDocument/2006/relationships/hyperlink" Target="https://www.google.com/search?q=site%3Arobocraze.com+100+nF+%2F+0.1+%C2%B5F+50+V+X7R+ceramic+capacitor" TargetMode="External" Id="rId127"/><Relationship Type="http://schemas.openxmlformats.org/officeDocument/2006/relationships/hyperlink" Target="https://www.google.com/search?q=site%3Aquartzcomponents.com+100+nF+%2F+0.1+%C2%B5F+50+V+X7R+ceramic+capacitor" TargetMode="External" Id="rId128"/><Relationship Type="http://schemas.openxmlformats.org/officeDocument/2006/relationships/hyperlink" Target="https://www.google.com/search?q=site%3Aflyrobo.in+100+nF+%2F+0.1+%C2%B5F+50+V+X7R+ceramic+capacitor" TargetMode="External" Id="rId129"/><Relationship Type="http://schemas.openxmlformats.org/officeDocument/2006/relationships/hyperlink" Target="https://www.google.com/search?q=site%3Aevelta.com+100+nF+%2F+0.1+%C2%B5F+50+V+X7R+ceramic+capacitor" TargetMode="External" Id="rId130"/><Relationship Type="http://schemas.openxmlformats.org/officeDocument/2006/relationships/hyperlink" Target="https://www.google.com/search?q=site%3Aelectronicscomp.com+SPST+DC+power+switch" TargetMode="External" Id="rId131"/><Relationship Type="http://schemas.openxmlformats.org/officeDocument/2006/relationships/hyperlink" Target="https://www.google.com/search?q=site%3Arobocraze.com+SPST+DC+power+switch" TargetMode="External" Id="rId132"/><Relationship Type="http://schemas.openxmlformats.org/officeDocument/2006/relationships/hyperlink" Target="https://www.google.com/search?q=site%3Aquartzcomponents.com+SPST+DC+power+switch" TargetMode="External" Id="rId133"/><Relationship Type="http://schemas.openxmlformats.org/officeDocument/2006/relationships/hyperlink" Target="https://www.google.com/search?q=site%3Aflyrobo.in+SPST+DC+power+switch" TargetMode="External" Id="rId134"/><Relationship Type="http://schemas.openxmlformats.org/officeDocument/2006/relationships/hyperlink" Target="https://www.google.com/search?q=site%3Aevelta.com+SPST+DC+power+switch" TargetMode="External" Id="rId135"/><Relationship Type="http://schemas.openxmlformats.org/officeDocument/2006/relationships/hyperlink" Target="https://www.google.com/search?q=site%3Aelectronicscomp.com+Inline+fuse+holder" TargetMode="External" Id="rId136"/><Relationship Type="http://schemas.openxmlformats.org/officeDocument/2006/relationships/hyperlink" Target="https://www.google.com/search?q=site%3Arobocraze.com+Inline+fuse+holder" TargetMode="External" Id="rId137"/><Relationship Type="http://schemas.openxmlformats.org/officeDocument/2006/relationships/hyperlink" Target="https://www.google.com/search?q=site%3Aquartzcomponents.com+Inline+fuse+holder" TargetMode="External" Id="rId138"/><Relationship Type="http://schemas.openxmlformats.org/officeDocument/2006/relationships/hyperlink" Target="https://www.google.com/search?q=site%3Aflyrobo.in+Inline+fuse+holder" TargetMode="External" Id="rId139"/><Relationship Type="http://schemas.openxmlformats.org/officeDocument/2006/relationships/hyperlink" Target="https://www.google.com/search?q=site%3Aevelta.com+Inline+fuse+holder" TargetMode="External" Id="rId140"/><Relationship Type="http://schemas.openxmlformats.org/officeDocument/2006/relationships/hyperlink" Target="https://www.google.com/search?q=site%3Aelectronicscomp.com+2+A+fuse" TargetMode="External" Id="rId141"/><Relationship Type="http://schemas.openxmlformats.org/officeDocument/2006/relationships/hyperlink" Target="https://www.google.com/search?q=site%3Arobocraze.com+2+A+fuse" TargetMode="External" Id="rId142"/><Relationship Type="http://schemas.openxmlformats.org/officeDocument/2006/relationships/hyperlink" Target="https://www.google.com/search?q=site%3Aquartzcomponents.com+2+A+fuse" TargetMode="External" Id="rId143"/><Relationship Type="http://schemas.openxmlformats.org/officeDocument/2006/relationships/hyperlink" Target="https://www.google.com/search?q=site%3Aflyrobo.in+2+A+fuse" TargetMode="External" Id="rId144"/><Relationship Type="http://schemas.openxmlformats.org/officeDocument/2006/relationships/hyperlink" Target="https://www.google.com/search?q=site%3Aevelta.com+2+A+fuse" TargetMode="External" Id="rId145"/><Relationship Type="http://schemas.openxmlformats.org/officeDocument/2006/relationships/hyperlink" Target="https://www.google.com/search?q=site%3Aelectronicscomp.com+Female+DC+barrel+jack+to+screw+terminal" TargetMode="External" Id="rId146"/><Relationship Type="http://schemas.openxmlformats.org/officeDocument/2006/relationships/hyperlink" Target="https://www.google.com/search?q=site%3Arobocraze.com+Female+DC+barrel+jack+to+screw+terminal" TargetMode="External" Id="rId147"/><Relationship Type="http://schemas.openxmlformats.org/officeDocument/2006/relationships/hyperlink" Target="https://www.google.com/search?q=site%3Aquartzcomponents.com+Female+DC+barrel+jack+to+screw+terminal" TargetMode="External" Id="rId148"/><Relationship Type="http://schemas.openxmlformats.org/officeDocument/2006/relationships/hyperlink" Target="https://www.google.com/search?q=site%3Aflyrobo.in+Female+DC+barrel+jack+to+screw+terminal" TargetMode="External" Id="rId149"/><Relationship Type="http://schemas.openxmlformats.org/officeDocument/2006/relationships/hyperlink" Target="https://www.google.com/search?q=site%3Aevelta.com+Female+DC+barrel+jack+to+screw+terminal" TargetMode="External" Id="rId150"/><Relationship Type="http://schemas.openxmlformats.org/officeDocument/2006/relationships/hyperlink" Target="https://www.google.com/search?q=site%3Aelectronicscomp.com+2-position+screw+terminal+blocks" TargetMode="External" Id="rId151"/><Relationship Type="http://schemas.openxmlformats.org/officeDocument/2006/relationships/hyperlink" Target="https://www.google.com/search?q=site%3Arobocraze.com+2-position+screw+terminal+blocks" TargetMode="External" Id="rId152"/><Relationship Type="http://schemas.openxmlformats.org/officeDocument/2006/relationships/hyperlink" Target="https://www.google.com/search?q=site%3Aquartzcomponents.com+2-position+screw+terminal+blocks" TargetMode="External" Id="rId153"/><Relationship Type="http://schemas.openxmlformats.org/officeDocument/2006/relationships/hyperlink" Target="https://www.google.com/search?q=site%3Aflyrobo.in+2-position+screw+terminal+blocks" TargetMode="External" Id="rId154"/><Relationship Type="http://schemas.openxmlformats.org/officeDocument/2006/relationships/hyperlink" Target="https://www.google.com/search?q=site%3Aevelta.com+2-position+screw+terminal+blocks" TargetMode="External" Id="rId155"/><Relationship Type="http://schemas.openxmlformats.org/officeDocument/2006/relationships/hyperlink" Target="https://www.google.com/search?q=site%3Aelectronicscomp.com+Signal+wiring+%2F+Arduino+jumper+pigtail+harness" TargetMode="External" Id="rId156"/><Relationship Type="http://schemas.openxmlformats.org/officeDocument/2006/relationships/hyperlink" Target="https://www.google.com/search?q=site%3Arobocraze.com+Signal+wiring+%2F+Arduino+jumper+pigtail+harness" TargetMode="External" Id="rId157"/><Relationship Type="http://schemas.openxmlformats.org/officeDocument/2006/relationships/hyperlink" Target="https://www.google.com/search?q=site%3Aquartzcomponents.com+Signal+wiring+%2F+Arduino+jumper+pigtail+harness" TargetMode="External" Id="rId158"/><Relationship Type="http://schemas.openxmlformats.org/officeDocument/2006/relationships/hyperlink" Target="https://www.google.com/search?q=site%3Aflyrobo.in+Signal+wiring+%2F+Arduino+jumper+pigtail+harness" TargetMode="External" Id="rId159"/><Relationship Type="http://schemas.openxmlformats.org/officeDocument/2006/relationships/hyperlink" Target="https://www.google.com/search?q=site%3Aevelta.com+Signal+wiring+%2F+Arduino+jumper+pigtail+harness" TargetMode="External" Id="rId160"/><Relationship Type="http://schemas.openxmlformats.org/officeDocument/2006/relationships/hyperlink" Target="https://www.google.com/search?q=site%3Aelectronicscomp.com+Power+wiring" TargetMode="External" Id="rId161"/><Relationship Type="http://schemas.openxmlformats.org/officeDocument/2006/relationships/hyperlink" Target="https://www.google.com/search?q=site%3Arobocraze.com+Power+wiring" TargetMode="External" Id="rId162"/><Relationship Type="http://schemas.openxmlformats.org/officeDocument/2006/relationships/hyperlink" Target="https://www.google.com/search?q=site%3Aquartzcomponents.com+Power+wiring" TargetMode="External" Id="rId163"/><Relationship Type="http://schemas.openxmlformats.org/officeDocument/2006/relationships/hyperlink" Target="https://www.google.com/search?q=site%3Aflyrobo.in+Power+wiring" TargetMode="External" Id="rId164"/><Relationship Type="http://schemas.openxmlformats.org/officeDocument/2006/relationships/hyperlink" Target="https://www.google.com/search?q=site%3Aevelta.com+Power+wiring" TargetMode="External" Id="rId165"/><Relationship Type="http://schemas.openxmlformats.org/officeDocument/2006/relationships/hyperlink" Target="https://www.google.com/search?q=site%3Aelectronicscomp.com+Solderable+perfboard" TargetMode="External" Id="rId166"/><Relationship Type="http://schemas.openxmlformats.org/officeDocument/2006/relationships/hyperlink" Target="https://www.google.com/search?q=site%3Arobocraze.com+Solderable+perfboard" TargetMode="External" Id="rId167"/><Relationship Type="http://schemas.openxmlformats.org/officeDocument/2006/relationships/hyperlink" Target="https://www.google.com/search?q=site%3Aquartzcomponents.com+Solderable+perfboard" TargetMode="External" Id="rId168"/><Relationship Type="http://schemas.openxmlformats.org/officeDocument/2006/relationships/hyperlink" Target="https://www.google.com/search?q=site%3Aflyrobo.in+Solderable+perfboard" TargetMode="External" Id="rId169"/><Relationship Type="http://schemas.openxmlformats.org/officeDocument/2006/relationships/hyperlink" Target="https://www.google.com/search?q=site%3Aevelta.com+Solderable+perfboard" TargetMode="External" Id="rId170"/><Relationship Type="http://schemas.openxmlformats.org/officeDocument/2006/relationships/hyperlink" Target="https://www.google.com/search?q=site%3Aelectronicscomp.com+A4988+carrier+pin+headers+and+mating+sockets" TargetMode="External" Id="rId171"/><Relationship Type="http://schemas.openxmlformats.org/officeDocument/2006/relationships/hyperlink" Target="https://www.google.com/search?q=site%3Arobocraze.com+A4988+carrier+pin+headers+and+mating+sockets" TargetMode="External" Id="rId172"/><Relationship Type="http://schemas.openxmlformats.org/officeDocument/2006/relationships/hyperlink" Target="https://www.google.com/search?q=site%3Aquartzcomponents.com+A4988+carrier+pin+headers+and+mating+sockets" TargetMode="External" Id="rId173"/><Relationship Type="http://schemas.openxmlformats.org/officeDocument/2006/relationships/hyperlink" Target="https://www.google.com/search?q=site%3Aflyrobo.in+A4988+carrier+pin+headers+and+mating+sockets" TargetMode="External" Id="rId174"/><Relationship Type="http://schemas.openxmlformats.org/officeDocument/2006/relationships/hyperlink" Target="https://www.google.com/search?q=site%3Aevelta.com+A4988+carrier+pin+headers+and+mating+sockets" TargetMode="External" Id="rId175"/><Relationship Type="http://schemas.openxmlformats.org/officeDocument/2006/relationships/hyperlink" Target="https://www.google.com/search?q=site%3Aelectronicscomp.com+Heat-shrink+insulation+and+cable+restraints" TargetMode="External" Id="rId176"/><Relationship Type="http://schemas.openxmlformats.org/officeDocument/2006/relationships/hyperlink" Target="https://www.google.com/search?q=site%3Arobocraze.com+Heat-shrink+insulation+and+cable+restraints" TargetMode="External" Id="rId177"/><Relationship Type="http://schemas.openxmlformats.org/officeDocument/2006/relationships/hyperlink" Target="https://www.google.com/search?q=site%3Aquartzcomponents.com+Heat-shrink+insulation+and+cable+restraints" TargetMode="External" Id="rId178"/><Relationship Type="http://schemas.openxmlformats.org/officeDocument/2006/relationships/hyperlink" Target="https://www.google.com/search?q=site%3Aflyrobo.in+Heat-shrink+insulation+and+cable+restraints" TargetMode="External" Id="rId179"/><Relationship Type="http://schemas.openxmlformats.org/officeDocument/2006/relationships/hyperlink" Target="https://www.google.com/search?q=site%3Aevelta.com+Heat-shrink+insulation+and+cable+restraints" TargetMode="External" Id="rId180"/><Relationship Type="http://schemas.openxmlformats.org/officeDocument/2006/relationships/hyperlink" Target="https://www.google.com/search?q=site%3Aelectronicscomp.com+Uno+USB+DATA+cable" TargetMode="External" Id="rId181"/><Relationship Type="http://schemas.openxmlformats.org/officeDocument/2006/relationships/hyperlink" Target="https://www.google.com/search?q=site%3Arobocraze.com+Uno+USB+DATA+cable" TargetMode="External" Id="rId182"/><Relationship Type="http://schemas.openxmlformats.org/officeDocument/2006/relationships/hyperlink" Target="https://www.google.com/search?q=site%3Aquartzcomponents.com+Uno+USB+DATA+cable" TargetMode="External" Id="rId183"/><Relationship Type="http://schemas.openxmlformats.org/officeDocument/2006/relationships/hyperlink" Target="https://www.google.com/search?q=site%3Aflyrobo.in+Uno+USB+DATA+cable" TargetMode="External" Id="rId184"/><Relationship Type="http://schemas.openxmlformats.org/officeDocument/2006/relationships/hyperlink" Target="https://www.google.com/search?q=site%3Aevelta.com+Uno+USB+DATA+cable" TargetMode="External" Id="rId185"/><Relationship Type="http://schemas.openxmlformats.org/officeDocument/2006/relationships/hyperlink" Target="https://www.google.com/search?q=site%3Aelectronicscomp.com+Clear+uncoloured+solid+polycarbonate+coupon" TargetMode="External" Id="rId186"/><Relationship Type="http://schemas.openxmlformats.org/officeDocument/2006/relationships/hyperlink" Target="https://www.google.com/search?q=site%3Arobocraze.com+Clear+uncoloured+solid+polycarbonate+coupon" TargetMode="External" Id="rId187"/><Relationship Type="http://schemas.openxmlformats.org/officeDocument/2006/relationships/hyperlink" Target="https://www.google.com/search?q=site%3Aquartzcomponents.com+Clear+uncoloured+solid+polycarbonate+coupon" TargetMode="External" Id="rId188"/><Relationship Type="http://schemas.openxmlformats.org/officeDocument/2006/relationships/hyperlink" Target="https://www.google.com/search?q=site%3Aflyrobo.in+Clear+uncoloured+solid+polycarbonate+coupon" TargetMode="External" Id="rId189"/><Relationship Type="http://schemas.openxmlformats.org/officeDocument/2006/relationships/hyperlink" Target="https://www.google.com/search?q=site%3Aevelta.com+Clear+uncoloured+solid+polycarbonate+coupon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44" customHeight="1">
      <c r="A1" s="1" t="inlineStr">
        <is>
          <t>POLARIS FINALIZED V1 PROCUREMENT SPECIFICATION</t>
        </is>
      </c>
      <c r="B1" s="1" t="inlineStr"/>
    </row>
    <row r="2" ht="62" customHeight="1">
      <c r="A2" s="2" t="inlineStr">
        <is>
          <t>Answer</t>
        </is>
      </c>
      <c r="B2" s="2" t="inlineStr">
        <is>
          <t>Not every previous purchase was required. Separate installed components from spare quantities, optional modules and included accessories. This workbook supersedes the earlier 38-line budget as the procurement specification.</t>
        </is>
      </c>
    </row>
    <row r="3" ht="62" customHeight="1">
      <c r="A3" s="3" t="inlineStr">
        <is>
          <t>Scope</t>
        </is>
      </c>
      <c r="B3" s="3" t="inlineStr">
        <is>
          <t>Core = motorized qualitative polarization imaging of a clear polycarbonate specimen. Existing circuit retained: Arduino + A4988 + motor + home switch + LED MOSFET + USB camera. HX711/load cell remains optional.</t>
        </is>
      </c>
    </row>
    <row r="4" ht="62" customHeight="1">
      <c r="A4" s="2" t="inlineStr">
        <is>
          <t>What final means</t>
        </is>
      </c>
      <c r="B4" s="2" t="inlineStr">
        <is>
          <t>Circuit functions and installed electrical counts are audited. Camera model, ring/support dimensions, belt length and optical layout remain explicitly HOLD/VERIFY items. Do not order them blindly.</t>
        </is>
      </c>
    </row>
    <row r="5" ht="62" customHeight="1">
      <c r="A5" s="3" t="inlineStr">
        <is>
          <t>No guarantee yet</t>
        </is>
      </c>
      <c r="B5" s="3" t="inlineStr">
        <is>
          <t>Hardware has not been assembled/bench-tested. Firmware/acquisition integration, alignment and calibration remain. Purchasing this list alone does not establish calibrated stress measurement or trained AI.</t>
        </is>
      </c>
    </row>
    <row r="6" ht="62" customHeight="1">
      <c r="A6" s="2" t="inlineStr">
        <is>
          <t>Google Sheets</t>
        </is>
      </c>
      <c r="B6" s="2" t="inlineStr">
        <is>
          <t>Upload this XLSX to Google Drive, open with Google Sheets and use File &gt; Save as Google Sheets if it remains in Office-editing mode. Or use Sheets &gt; File &gt; Import &gt; Upload &gt; Create new spreadsheet. This is an importable workbook, not an already-created Google Sheet.</t>
        </is>
      </c>
    </row>
    <row r="7" ht="62" customHeight="1">
      <c r="A7" s="3" t="inlineStr">
        <is>
          <t>Read tabs</t>
        </is>
      </c>
      <c r="B7" s="3" t="inlineStr">
        <is>
          <t>Core BOM = installed requirements; Optional = extras/modules; Changes = reconciliation; Connections = circuit map; Purchase gates = unresolved decisions; Supplier searches = unverified searches; Quotes = enter actual prices.</t>
        </is>
      </c>
    </row>
    <row r="8" ht="62" customHeight="1">
      <c r="A8" s="2" t="inlineStr">
        <is>
          <t>Pricing</t>
        </is>
      </c>
      <c r="B8" s="2" t="inlineStr">
        <is>
          <t>Live prices and seller reliability have NOT been verified. Previous INR 15,000 was a hypothetical allowance. Quotes remain INCOMPLETE until all order quantities/prices, tax and shipping are supplied.</t>
        </is>
      </c>
    </row>
    <row r="9" ht="62" customHeight="1">
      <c r="A9" s="3" t="inlineStr">
        <is>
          <t>Computer required</t>
        </is>
      </c>
      <c r="B9" s="3" t="inlineStr">
        <is>
          <t>Reuse a laptop with two adequate USB data connections (or suitable powered hub if needed); camera processing runs on laptop, not Uno. Laptop purchase excluded.</t>
        </is>
      </c>
    </row>
    <row r="10" ht="62" customHeight="1">
      <c r="A10" s="2" t="inlineStr">
        <is>
          <t>Lab tools required</t>
        </is>
      </c>
      <c r="B10" s="2" t="inlineStr">
        <is>
          <t>Access to multimeter, soldering/assembly tools and caliper/micrometer is needed. Borrow/use lab stock; these are tools, not installed parts.</t>
        </is>
      </c>
    </row>
    <row r="11" ht="62" customHeight="1">
      <c r="A11" s="3" t="inlineStr">
        <is>
          <t>Loaded tests</t>
        </is>
      </c>
      <c r="B11" s="3" t="inlineStr">
        <is>
          <t>The core includes a non-loading specimen holder. To investigate controlled applied stress, separately provide a rated loading fixture and suitable force measurement; the motor only rotates P2.</t>
        </is>
      </c>
    </row>
    <row r="12" ht="62" customHeight="1">
      <c r="A12" s="2" t="inlineStr">
        <is>
          <t>Optical stock</t>
        </is>
      </c>
      <c r="B12" s="2" t="inlineStr">
        <is>
          <t>Two polarizer FUNCTIONS are mandatory. Two retail 150 x 150 sheets are not always necessary; confirm cut layout. Do not replace linear film with photographic CPL.</t>
        </is>
      </c>
    </row>
    <row r="13" ht="62" customHeight="1">
      <c r="A13" s="3" t="inlineStr">
        <is>
          <t>Added missing supports</t>
        </is>
      </c>
      <c r="B13" s="3" t="inlineStr">
        <is>
          <t>Specimen holder, backlight support, home-switch bracket/actuator, driver headers/sockets, and belt-tension adjustment are now explicit. Bundle fabrication where practical.</t>
        </is>
      </c>
    </row>
    <row r="14" ht="62" customHeight="1">
      <c r="A14" s="2" t="inlineStr">
        <is>
          <t>Date</t>
        </is>
      </c>
      <c r="B14" s="2" t="inlineStr">
        <is>
          <t>18 October 2026; based on existing pictorial circuit and software-only hardware status.</t>
        </is>
      </c>
    </row>
    <row r="15" ht="62" customHeight="1">
      <c r="A15" s="3" t="inlineStr">
        <is>
          <t>Existing diagram</t>
        </is>
      </c>
      <c r="B15" s="3" t="inlineStr">
        <is>
          <t>https://github.com/Aemili09/POLARIS/blob/main/hardware/POLARIS_Pictorial_Wiring.png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9" customWidth="1" min="2" max="2"/>
    <col width="15" customWidth="1" min="3" max="3"/>
    <col width="24" customWidth="1" min="4" max="4"/>
    <col width="62" customWidth="1" min="5" max="5"/>
    <col width="75" customWidth="1" min="6" max="6"/>
    <col width="26" customWidth="1" min="7" max="7"/>
    <col width="66" customWidth="1" min="8" max="8"/>
    <col width="88" customWidth="1" min="9" max="9"/>
  </cols>
  <sheetData>
    <row r="1" ht="44" customHeight="1">
      <c r="A1" s="1" t="inlineStr">
        <is>
          <t>ID</t>
        </is>
      </c>
      <c r="B1" s="1" t="inlineStr">
        <is>
          <t>Component</t>
        </is>
      </c>
      <c r="C1" s="1" t="inlineStr">
        <is>
          <t>Installed quantity</t>
        </is>
      </c>
      <c r="D1" s="1" t="inlineStr">
        <is>
          <t>Installed unit</t>
        </is>
      </c>
      <c r="E1" s="1" t="inlineStr">
        <is>
          <t>Purchase quantity / bundle rule</t>
        </is>
      </c>
      <c r="F1" s="1" t="inlineStr">
        <is>
          <t>Specification</t>
        </is>
      </c>
      <c r="G1" s="1" t="inlineStr">
        <is>
          <t>Order status</t>
        </is>
      </c>
      <c r="H1" s="1" t="inlineStr">
        <is>
          <t>Circuit function</t>
        </is>
      </c>
      <c r="I1" s="1" t="inlineStr">
        <is>
          <t>Compatibility / qualification</t>
        </is>
      </c>
    </row>
    <row r="2" ht="84" customHeight="1">
      <c r="A2" s="2" t="inlineStr">
        <is>
          <t>B01</t>
        </is>
      </c>
      <c r="B2" s="2" t="inlineStr">
        <is>
          <t>Arduino Uno R3 ATmega328P</t>
        </is>
      </c>
      <c r="C2" s="2" t="n">
        <v>1</v>
      </c>
      <c r="D2" s="2" t="inlineStr">
        <is>
          <t>board</t>
        </is>
      </c>
      <c r="E2" s="2" t="inlineStr">
        <is>
          <t>1 board; use existing if available</t>
        </is>
      </c>
      <c r="F2" s="2" t="inlineStr">
        <is>
          <t>5 V logic; 16 MHz; Uno pin layout; USB data interface</t>
        </is>
      </c>
      <c r="G2" s="2" t="inlineStr">
        <is>
          <t>SPEC READY</t>
        </is>
      </c>
      <c r="H2" s="2" t="inlineStr">
        <is>
          <t>U1; D2/D3/D4/D7/D9 control; D5/D6 reserved for optional HX711</t>
        </is>
      </c>
      <c r="I2" s="2" t="inlineStr">
        <is>
          <t>Confirm actual USB socket and USB driver; USB powered, Vin/barrel unused.</t>
        </is>
      </c>
    </row>
    <row r="3" ht="84" customHeight="1">
      <c r="A3" s="3" t="inlineStr">
        <is>
          <t>B02</t>
        </is>
      </c>
      <c r="B3" s="3" t="inlineStr">
        <is>
          <t>A4988 carrier with heatsink</t>
        </is>
      </c>
      <c r="C3" s="3" t="n">
        <v>1</v>
      </c>
      <c r="D3" s="3" t="inlineStr">
        <is>
          <t>driver assembly</t>
        </is>
      </c>
      <c r="E3" s="3" t="inlineStr">
        <is>
          <t>1 set; do not separately buy an included heatsink</t>
        </is>
      </c>
      <c r="F3" s="3" t="inlineStr">
        <is>
          <t>STEP/DIR; adjustable current limit; 1/16 microsteps; documented pinout and Rs</t>
        </is>
      </c>
      <c r="G3" s="3" t="inlineStr">
        <is>
          <t>SPEC READY</t>
        </is>
      </c>
      <c r="H3" s="3" t="inlineStr">
        <is>
          <t>U2; motor power stage</t>
        </is>
      </c>
      <c r="I3" s="3" t="inlineStr">
        <is>
          <t>Current-sense resistor value must be known. 0.60 A initial setting needs actual torque/temperature test. Carrier header pins may be loose or absent; see B35.</t>
        </is>
      </c>
    </row>
    <row r="4" ht="84" customHeight="1">
      <c r="A4" s="2" t="inlineStr">
        <is>
          <t>B03</t>
        </is>
      </c>
      <c r="B4" s="2" t="inlineStr">
        <is>
          <t>NEMA17 4-wire bipolar stepper; 17HS4401 candidate</t>
        </is>
      </c>
      <c r="C4" s="2" t="n">
        <v>1</v>
      </c>
      <c r="D4" s="2" t="inlineStr">
        <is>
          <t>motor</t>
        </is>
      </c>
      <c r="E4" s="2" t="inlineStr">
        <is>
          <t>1 motor</t>
        </is>
      </c>
      <c r="F4" s="2" t="inlineStr">
        <is>
          <t>200 full steps/rev (1.8 degrees); 4 wire; phase rating &gt;=0.60 A; 5 mm shaft for selected pulley</t>
        </is>
      </c>
      <c r="G4" s="2" t="inlineStr">
        <is>
          <t>VERIFY DATASHEET</t>
        </is>
      </c>
      <c r="H4" s="2" t="inlineStr">
        <is>
          <t>M1; rotates analyzer, not specimen loading</t>
        </is>
      </c>
      <c r="I4" s="2" t="inlineStr">
        <is>
          <t>17HS4401 listings vary. Confirm shaft, phase current, dimensions and winding pairs; do not assume identical specifications from model name.</t>
        </is>
      </c>
    </row>
    <row r="5" ht="84" customHeight="1">
      <c r="A5" s="3" t="inlineStr">
        <is>
          <t>B04</t>
        </is>
      </c>
      <c r="B5" s="3" t="inlineStr">
        <is>
          <t>UVC USB camera; Logitech C270 candidate only</t>
        </is>
      </c>
      <c r="C5" s="3" t="n">
        <v>1</v>
      </c>
      <c r="D5" s="3" t="inlineStr">
        <is>
          <t>camera</t>
        </is>
      </c>
      <c r="E5" s="3" t="inlineStr">
        <is>
          <t>1 AFTER camera-control and field-of-view check</t>
        </is>
      </c>
      <c r="F5" s="3" t="inlineStr">
        <is>
          <t>Lockable exposure, gain and white balance; stable focus; usable working distance/field of view; supported laptop software</t>
        </is>
      </c>
      <c r="G5" s="4" t="inlineStr">
        <is>
          <t>HOLD: COMPATIBILITY</t>
        </is>
      </c>
      <c r="H5" s="3" t="inlineStr">
        <is>
          <t>CAM1 -&gt; laptop USB, never Uno GPIO</t>
        </is>
      </c>
      <c r="I5" s="3" t="inlineStr">
        <is>
          <t>C270 is not a guaranteed measurement-camera selection. Confirm disabling automatic processing on intended OS, focus on specimen, and visibility through analyzer opening. Buy another documented UVC camera if it fails.</t>
        </is>
      </c>
    </row>
    <row r="6" ht="84" customHeight="1">
      <c r="A6" s="2" t="inlineStr">
        <is>
          <t>B05</t>
        </is>
      </c>
      <c r="B6" s="2" t="inlineStr">
        <is>
          <t>Isolated regulated 12 V DC / 3 A enclosed adapter</t>
        </is>
      </c>
      <c r="C6" s="2" t="n">
        <v>1</v>
      </c>
      <c r="D6" s="2" t="inlineStr">
        <is>
          <t>adapter</t>
        </is>
      </c>
      <c r="E6" s="2" t="inlineStr">
        <is>
          <t>1</t>
        </is>
      </c>
      <c r="F6" s="2" t="inlineStr">
        <is>
          <t>Reputable supply; adequate protection; declared connector/polarity; no exposed mains terminals</t>
        </is>
      </c>
      <c r="G6" s="2" t="inlineStr">
        <is>
          <t>SPEC READY</t>
        </is>
      </c>
      <c r="H6" s="2" t="inlineStr">
        <is>
          <t>PS1; external motor and LED supply</t>
        </is>
      </c>
      <c r="I6" s="2" t="inlineStr">
        <is>
          <t>Match B30 socket. Logic still comes from Uno USB. 3 A is adapter capacity, not guaranteed circuit draw.</t>
        </is>
      </c>
    </row>
    <row r="7" ht="84" customHeight="1">
      <c r="A7" s="3" t="inlineStr">
        <is>
          <t>B06</t>
        </is>
      </c>
      <c r="B7" s="3" t="inlineStr">
        <is>
          <t>FQP30N06L logic-level N-channel MOSFET</t>
        </is>
      </c>
      <c r="C7" s="3" t="n">
        <v>1</v>
      </c>
      <c r="D7" s="3" t="inlineStr">
        <is>
          <t>MOSFET</t>
        </is>
      </c>
      <c r="E7" s="3" t="inlineStr">
        <is>
          <t>1; a second is an optional spare</t>
        </is>
      </c>
      <c r="F7" s="3" t="inlineStr">
        <is>
          <t>TO-220; manufacturer-documented G/D/S; specified operation with 5 V gate drive</t>
        </is>
      </c>
      <c r="G7" s="3" t="inlineStr">
        <is>
          <t>SPEC READY</t>
        </is>
      </c>
      <c r="H7" s="3" t="inlineStr">
        <is>
          <t>Q1; low-side LED switching</t>
        </is>
      </c>
      <c r="I7" s="3" t="inlineStr">
        <is>
          <t>Front marked face: 1 gate, 2 drain/tab, 3 source for selected device. Do not substitute a non-logic-level MOSFET blindly.</t>
        </is>
      </c>
    </row>
    <row r="8" ht="84" customHeight="1">
      <c r="A8" s="2" t="inlineStr">
        <is>
          <t>B07</t>
        </is>
      </c>
      <c r="B8" s="2" t="inlineStr">
        <is>
          <t>SPDT lever microswitch; Omron SS-5GL candidate</t>
        </is>
      </c>
      <c r="C8" s="2" t="n">
        <v>1</v>
      </c>
      <c r="D8" s="2" t="inlineStr">
        <is>
          <t>switch</t>
        </is>
      </c>
      <c r="E8" s="2" t="inlineStr">
        <is>
          <t>1; a second is an optional spare</t>
        </is>
      </c>
      <c r="F8" s="2" t="inlineStr">
        <is>
          <t>COM/NC/NO; compatible lever travel and mounting; documented terminals</t>
        </is>
      </c>
      <c r="G8" s="2" t="inlineStr">
        <is>
          <t>VERIFY MOUNT</t>
        </is>
      </c>
      <c r="H8" s="2" t="inlineStr">
        <is>
          <t>SW2; NC home switch to D7</t>
        </is>
      </c>
      <c r="I8" s="2" t="inlineStr">
        <is>
          <t>Use COM and NC. B16 provides adjustable mount and moving-ring actuator. Mechanical home is not calibrated optical zero.</t>
        </is>
      </c>
    </row>
    <row r="9" ht="84" customHeight="1">
      <c r="A9" s="3" t="inlineStr">
        <is>
          <t>B08</t>
        </is>
      </c>
      <c r="B9" s="3" t="inlineStr">
        <is>
          <t>Visible linear polarizing film (P1 and P2)</t>
        </is>
      </c>
      <c r="C9" s="3" t="n">
        <v>2</v>
      </c>
      <c r="D9" s="3" t="inlineStr">
        <is>
          <t>optical pieces</t>
        </is>
      </c>
      <c r="E9" s="3" t="inlineStr">
        <is>
          <t>Start with 1 CUTTABLE 150 x 150 mm sheet only if both blanks fit; otherwise 2 sheets</t>
        </is>
      </c>
      <c r="F9" s="3" t="inlineStr">
        <is>
          <t>Non-adhesive visible LINEAR film; not photographic CPL; request transmission/extinction specs</t>
        </is>
      </c>
      <c r="G9" s="4" t="inlineStr">
        <is>
          <t>HOLD: CUT LAYOUT</t>
        </is>
      </c>
      <c r="H9" s="3" t="inlineStr">
        <is>
          <t>P1 fixed input + P2 rotating analyzer</t>
        </is>
      </c>
      <c r="I9" s="3" t="inlineStr">
        <is>
          <t>Two filters are required, not necessarily two retail sheets. Illustrative layout: 110 x 60 mm P1 blank plus &lt;=50 mm P2 blank fits one 150 x 150 mm sheet. Confirm holder margins, clear aperture and vignetting before cutting or buying.</t>
        </is>
      </c>
    </row>
    <row r="10" ht="84" customHeight="1">
      <c r="A10" s="2" t="inlineStr">
        <is>
          <t>B09</t>
        </is>
      </c>
      <c r="B10" s="2" t="inlineStr">
        <is>
          <t>12 V diffused white LED backlight panel</t>
        </is>
      </c>
      <c r="C10" s="2" t="n">
        <v>1</v>
      </c>
      <c r="D10" s="2" t="inlineStr">
        <is>
          <t>panel</t>
        </is>
      </c>
      <c r="E10" s="2" t="inlineStr">
        <is>
          <t>1 integrated panel with current limiting and diffuser</t>
        </is>
      </c>
      <c r="F10" s="2" t="inlineStr">
        <is>
          <t>Illuminated area &gt;=100 x 50 mm for initial view; &lt;=0.5 A at 12 V; documented integrated current limiting</t>
        </is>
      </c>
      <c r="G10" s="2" t="inlineStr">
        <is>
          <t>VERIFY LISTING</t>
        </is>
      </c>
      <c r="H10" s="2" t="inlineStr">
        <is>
          <t>L1; + to switched 12 V, - to Q1 drain</t>
        </is>
      </c>
      <c r="I10" s="2" t="inlineStr">
        <is>
          <t>Default selection includes diffuser. If absent, add O01; if no internal current limiting, this selection is not electrically compatible without a correctly designed LED driver.</t>
        </is>
      </c>
    </row>
    <row r="11" ht="84" customHeight="1">
      <c r="A11" s="3" t="inlineStr">
        <is>
          <t>B10</t>
        </is>
      </c>
      <c r="B11" s="3" t="inlineStr">
        <is>
          <t>Fixed P1 polarizer frame</t>
        </is>
      </c>
      <c r="C11" s="3" t="n">
        <v>1</v>
      </c>
      <c r="D11" s="3" t="inlineStr">
        <is>
          <t>holder</t>
        </is>
      </c>
      <c r="E11" s="3" t="inlineStr">
        <is>
          <t>1 fabricated frame or existing equivalent</t>
        </is>
      </c>
      <c r="F11" s="3" t="inlineStr">
        <is>
          <t>Holds selected film flat; adjustable orientation; clear aperture covers illuminated specimen region</t>
        </is>
      </c>
      <c r="G11" s="3" t="inlineStr">
        <is>
          <t>FABRICATE</t>
        </is>
      </c>
      <c r="H11" s="3" t="inlineStr">
        <is>
          <t>Supports P1</t>
        </is>
      </c>
      <c r="I11" s="3" t="inlineStr">
        <is>
          <t>Can be fabricated with base supports; do not pay twice if bundled into assembly.</t>
        </is>
      </c>
    </row>
    <row r="12" ht="84" customHeight="1">
      <c r="A12" s="2" t="inlineStr">
        <is>
          <t>B11</t>
        </is>
      </c>
      <c r="B12" s="2" t="inlineStr">
        <is>
          <t>Custom 80T GT2 annular analyzer ring AND P2 holder</t>
        </is>
      </c>
      <c r="C12" s="2" t="n">
        <v>1</v>
      </c>
      <c r="D12" s="2" t="inlineStr">
        <is>
          <t>ring/holder assembly</t>
        </is>
      </c>
      <c r="E12" s="2" t="inlineStr">
        <is>
          <t>1 combined assembly; no second rotating filter holder</t>
        </is>
      </c>
      <c r="F12" s="2" t="inlineStr">
        <is>
          <t>2 mm pitch; tooth profile matches belt; 6 mm belt; optical opening; film retention; bearing interface</t>
        </is>
      </c>
      <c r="G12" s="4" t="inlineStr">
        <is>
          <t>HOLD: DRAWING</t>
        </is>
      </c>
      <c r="H12" s="2" t="inlineStr">
        <is>
          <t>Driven 80T ring; P2 mounting</t>
        </is>
      </c>
      <c r="I12" s="2" t="inlineStr">
        <is>
          <t>NOT a standard solid pulley. 80T x 2 mm pitch gives ~50.9 mm pitch diameter; usable clear aperture is smaller. Size aperture with camera optical cone; include ring balance and retention.</t>
        </is>
      </c>
    </row>
    <row r="13" ht="84" customHeight="1">
      <c r="A13" s="3" t="inlineStr">
        <is>
          <t>B12</t>
        </is>
      </c>
      <c r="B13" s="3" t="inlineStr">
        <is>
          <t>GT2 closed-loop timing belt</t>
        </is>
      </c>
      <c r="C13" s="3" t="n">
        <v>1</v>
      </c>
      <c r="D13" s="3" t="inlineStr">
        <is>
          <t>belt</t>
        </is>
      </c>
      <c r="E13" s="3" t="inlineStr">
        <is>
          <t>1 AFTER centre distance and tension travel are fixed</t>
        </is>
      </c>
      <c r="F13" s="3" t="inlineStr">
        <is>
          <t>2 mm pitch, 6 mm width, matching tooth profile; length from mechanical drawing</t>
        </is>
      </c>
      <c r="G13" s="4" t="inlineStr">
        <is>
          <t>HOLD: LENGTH</t>
        </is>
      </c>
      <c r="H13" s="3" t="inlineStr">
        <is>
          <t>Connects 20T motor pulley to 80T ring</t>
        </is>
      </c>
      <c r="I13" s="3" t="inlineStr">
        <is>
          <t>Do not guess belt length. Slotted motor mount or another specified adjustment must provide tension control.</t>
        </is>
      </c>
    </row>
    <row r="14" ht="84" customHeight="1">
      <c r="A14" s="2" t="inlineStr">
        <is>
          <t>B13</t>
        </is>
      </c>
      <c r="B14" s="2" t="inlineStr">
        <is>
          <t>GT2 20T motor pulley</t>
        </is>
      </c>
      <c r="C14" s="2" t="n">
        <v>1</v>
      </c>
      <c r="D14" s="2" t="inlineStr">
        <is>
          <t>pulley</t>
        </is>
      </c>
      <c r="E14" s="2" t="inlineStr">
        <is>
          <t>1 with grub screws</t>
        </is>
      </c>
      <c r="F14" s="2" t="inlineStr">
        <is>
          <t>2 mm pitch; 6 mm belt; 5 mm shaft bore if B03 verified as 5 mm</t>
        </is>
      </c>
      <c r="G14" s="2" t="inlineStr">
        <is>
          <t>VERIFY SHAFT</t>
        </is>
      </c>
      <c r="H14" s="2" t="inlineStr">
        <is>
          <t>20T drive; 4:1 reduction with B11</t>
        </is>
      </c>
      <c r="I14" s="2" t="inlineStr">
        <is>
          <t>Same belt/tooth profile as B11/B12. Match actual shaft and provide secure retention.</t>
        </is>
      </c>
    </row>
    <row r="15" ht="84" customHeight="1">
      <c r="A15" s="3" t="inlineStr">
        <is>
          <t>B14</t>
        </is>
      </c>
      <c r="B15" s="3" t="inlineStr">
        <is>
          <t>Bearing / roller support for analyzer ring</t>
        </is>
      </c>
      <c r="C15" s="3" t="n">
        <v>1</v>
      </c>
      <c r="D15" s="3" t="inlineStr">
        <is>
          <t>support assembly</t>
        </is>
      </c>
      <c r="E15" s="3" t="inlineStr">
        <is>
          <t>1 assembly AFTER drawing; individual bearing quantity from drawing</t>
        </is>
      </c>
      <c r="F15" s="3" t="inlineStr">
        <is>
          <t>Allows clear optical aperture; constrains ring axially/radially; compatible with B11</t>
        </is>
      </c>
      <c r="G15" s="4" t="inlineStr">
        <is>
          <t>HOLD: DRAWING</t>
        </is>
      </c>
      <c r="H15" s="3" t="inlineStr">
        <is>
          <t>Supports rotating P2 independently of motor</t>
        </is>
      </c>
      <c r="I15" s="3" t="inlineStr">
        <is>
          <t>Exact bearing size/quantity cannot be finalized without the ring drawing. Do not buy an arbitrary shaft bearing that blocks the camera view.</t>
        </is>
      </c>
    </row>
    <row r="16" ht="84" customHeight="1">
      <c r="A16" s="2" t="inlineStr">
        <is>
          <t>B15</t>
        </is>
      </c>
      <c r="B16" s="2" t="inlineStr">
        <is>
          <t>NEMA17 adjustable mounting bracket</t>
        </is>
      </c>
      <c r="C16" s="2" t="n">
        <v>1</v>
      </c>
      <c r="D16" s="2" t="inlineStr">
        <is>
          <t>bracket</t>
        </is>
      </c>
      <c r="E16" s="2" t="inlineStr">
        <is>
          <t>1 bracket; integrate adjustment into bracket or base</t>
        </is>
      </c>
      <c r="F16" s="2" t="inlineStr">
        <is>
          <t>NEMA17 pattern; suitable screw depth; slotted adjustment for belt tension</t>
        </is>
      </c>
      <c r="G16" s="2" t="inlineStr">
        <is>
          <t>VERIFY LAYOUT</t>
        </is>
      </c>
      <c r="H16" s="2" t="inlineStr">
        <is>
          <t>Motor mount and belt tension adjustment</t>
        </is>
      </c>
      <c r="I16" s="2" t="inlineStr">
        <is>
          <t>If bracket is not slotted, provide slots in base. No extra idler is mandated when sufficient adjustment is built in.</t>
        </is>
      </c>
    </row>
    <row r="17" ht="84" customHeight="1">
      <c r="A17" s="3" t="inlineStr">
        <is>
          <t>B16</t>
        </is>
      </c>
      <c r="B17" s="3" t="inlineStr">
        <is>
          <t>Home-switch bracket and ring actuator/cam</t>
        </is>
      </c>
      <c r="C17" s="3" t="n">
        <v>1</v>
      </c>
      <c r="D17" s="3" t="inlineStr">
        <is>
          <t>paired mechanical set</t>
        </is>
      </c>
      <c r="E17" s="3" t="inlineStr">
        <is>
          <t>1 set, integrated with ring/base where possible</t>
        </is>
      </c>
      <c r="F17" s="3" t="inlineStr">
        <is>
          <t>Adjustable switch position; reliable press/release; clearance during rotation</t>
        </is>
      </c>
      <c r="G17" s="3" t="inlineStr">
        <is>
          <t>FABRICATE</t>
        </is>
      </c>
      <c r="H17" s="3" t="inlineStr">
        <is>
          <t>Makes SW2 physically actuate at home</t>
        </is>
      </c>
      <c r="I17" s="3" t="inlineStr">
        <is>
          <t>Missing from earlier shopping list. Include cam/flag in B11 fabrication quote where possible; do not double-charge the integrated feature.</t>
        </is>
      </c>
    </row>
    <row r="18" ht="84" customHeight="1">
      <c r="A18" s="2" t="inlineStr">
        <is>
          <t>B17</t>
        </is>
      </c>
      <c r="B18" s="2" t="inlineStr">
        <is>
          <t>Rigid adjustable camera mount</t>
        </is>
      </c>
      <c r="C18" s="2" t="n">
        <v>1</v>
      </c>
      <c r="D18" s="2" t="inlineStr">
        <is>
          <t>mount</t>
        </is>
      </c>
      <c r="E18" s="2" t="inlineStr">
        <is>
          <t>1 matched to chosen camera</t>
        </is>
      </c>
      <c r="F18" s="2" t="inlineStr">
        <is>
          <t>Locks viewing direction/working distance; compatible with actual camera body</t>
        </is>
      </c>
      <c r="G18" s="2" t="inlineStr">
        <is>
          <t>VERIFY CAMERA</t>
        </is>
      </c>
      <c r="H18" s="2" t="inlineStr">
        <is>
          <t>Camera support</t>
        </is>
      </c>
      <c r="I18" s="2" t="inlineStr">
        <is>
          <t>C270 does not automatically provide a standard tripod socket. Confirm mount interface before purchase.</t>
        </is>
      </c>
    </row>
    <row r="19" ht="84" customHeight="1">
      <c r="A19" s="3" t="inlineStr">
        <is>
          <t>B18</t>
        </is>
      </c>
      <c r="B19" s="3" t="inlineStr">
        <is>
          <t>Specimen holder with two gentle edge supports</t>
        </is>
      </c>
      <c r="C19" s="3" t="n">
        <v>1</v>
      </c>
      <c r="D19" s="3" t="inlineStr">
        <is>
          <t>holder assembly</t>
        </is>
      </c>
      <c r="E19" s="3" t="inlineStr">
        <is>
          <t>1 non-loading holder</t>
        </is>
      </c>
      <c r="F19" s="3" t="inlineStr">
        <is>
          <t>Maintains specimen position; unobstructed viewing region; avoids unintended bending/clamping stress</t>
        </is>
      </c>
      <c r="G19" s="3" t="inlineStr">
        <is>
          <t>FABRICATE</t>
        </is>
      </c>
      <c r="H19" s="3" t="inlineStr">
        <is>
          <t>Holds sample between P1 and P2</t>
        </is>
      </c>
      <c r="I19" s="3" t="inlineStr">
        <is>
          <t>Missing from earlier list. NOT a tensile loading fixture. Hold outside viewed region; document mounting-induced baseline changes.</t>
        </is>
      </c>
    </row>
    <row r="20" ht="84" customHeight="1">
      <c r="A20" s="2" t="inlineStr">
        <is>
          <t>B19</t>
        </is>
      </c>
      <c r="B20" s="2" t="inlineStr">
        <is>
          <t>Backlight/diffuser support</t>
        </is>
      </c>
      <c r="C20" s="2" t="n">
        <v>1</v>
      </c>
      <c r="D20" s="2" t="inlineStr">
        <is>
          <t>mount</t>
        </is>
      </c>
      <c r="E20" s="2" t="inlineStr">
        <is>
          <t>1; omit separate purchase if panel/base kit includes it</t>
        </is>
      </c>
      <c r="F20" s="2" t="inlineStr">
        <is>
          <t>Rigid support for B09; adjustable position/alignment</t>
        </is>
      </c>
      <c r="G20" s="2" t="inlineStr">
        <is>
          <t>FABRICATE / BUNDLE</t>
        </is>
      </c>
      <c r="H20" s="2" t="inlineStr">
        <is>
          <t>Holds source before P1</t>
        </is>
      </c>
      <c r="I20" s="2" t="inlineStr">
        <is>
          <t>Missing as an explicit item previously. Can share fabricated rail/base with other fixed mounts.</t>
        </is>
      </c>
    </row>
    <row r="21" ht="84" customHeight="1">
      <c r="A21" s="3" t="inlineStr">
        <is>
          <t>B20</t>
        </is>
      </c>
      <c r="B21" s="3" t="inlineStr">
        <is>
          <t>Rigid optical base / rail</t>
        </is>
      </c>
      <c r="C21" s="3" t="n">
        <v>1</v>
      </c>
      <c r="D21" s="3" t="inlineStr">
        <is>
          <t>base assembly</t>
        </is>
      </c>
      <c r="E21" s="3" t="inlineStr">
        <is>
          <t>1 AFTER working-distance layout</t>
        </is>
      </c>
      <c r="F21" s="3" t="inlineStr">
        <is>
          <t>Rigid board or metal base; feet/support; dimensions based on optics and camera focus</t>
        </is>
      </c>
      <c r="G21" s="4" t="inlineStr">
        <is>
          <t>HOLD: LAYOUT</t>
        </is>
      </c>
      <c r="H21" s="3" t="inlineStr">
        <is>
          <t>Mechanical reference for entire setup</t>
        </is>
      </c>
      <c r="I21" s="3" t="inlineStr">
        <is>
          <t>Earlier 300 x 200 mm was illustrative, not finalized. Allow actual camera working distance, specimen and belt clearances.</t>
        </is>
      </c>
    </row>
    <row r="22" ht="84" customHeight="1">
      <c r="A22" s="2" t="inlineStr">
        <is>
          <t>B21</t>
        </is>
      </c>
      <c r="B22" s="2" t="inlineStr">
        <is>
          <t>M3/M4 fasteners, washers, standoffs</t>
        </is>
      </c>
      <c r="C22" s="2" t="n">
        <v>1</v>
      </c>
      <c r="D22" s="2" t="inlineStr">
        <is>
          <t>assembly kit</t>
        </is>
      </c>
      <c r="E22" s="2" t="inlineStr">
        <is>
          <t>1 kit; exact lengths/count after drawings</t>
        </is>
      </c>
      <c r="F22" s="2" t="inlineStr">
        <is>
          <t>Match motor, base, mounts, bearing supports and circuit-board mounting</t>
        </is>
      </c>
      <c r="G22" s="2" t="inlineStr">
        <is>
          <t>VERIFY LAYOUT</t>
        </is>
      </c>
      <c r="H22" s="2" t="inlineStr">
        <is>
          <t>Secures electronics and optics</t>
        </is>
      </c>
      <c r="I22" s="2" t="inlineStr">
        <is>
          <t>One integrated fastener kit, not separate unexplained kits for each holder.</t>
        </is>
      </c>
    </row>
    <row r="23" ht="84" customHeight="1">
      <c r="A23" s="3" t="inlineStr">
        <is>
          <t>B22</t>
        </is>
      </c>
      <c r="B23" s="3" t="inlineStr">
        <is>
          <t>10 kΩ 1/4 W 1% metal-film resistor</t>
        </is>
      </c>
      <c r="C23" s="3" t="n">
        <v>4</v>
      </c>
      <c r="D23" s="3" t="inlineStr">
        <is>
          <t>resistors</t>
        </is>
      </c>
      <c r="E23" s="3" t="inlineStr">
        <is>
          <t>4 installed; buy minimum pack; rest are spares</t>
        </is>
      </c>
      <c r="F23" s="3" t="inlineStr">
        <is>
          <t>10 kΩ, axial, 0.25 W, 1%</t>
        </is>
      </c>
      <c r="G23" s="3" t="inlineStr">
        <is>
          <t>SPEC READY</t>
        </is>
      </c>
      <c r="H23" s="3" t="inlineStr">
        <is>
          <t>R1 ENABLE pull-up; R2 STEP pull-down; R3 DIR pull-down; R6 MOSFET gate pull-down</t>
        </is>
      </c>
      <c r="I23" s="3" t="inlineStr">
        <is>
          <t>Earlier quantity 10 included 6 extras. All four functions remain in the current circuit.</t>
        </is>
      </c>
    </row>
    <row r="24" ht="84" customHeight="1">
      <c r="A24" s="2" t="inlineStr">
        <is>
          <t>B23</t>
        </is>
      </c>
      <c r="B24" s="2" t="inlineStr">
        <is>
          <t>4.7 kΩ 1/4 W 1% metal-film resistor</t>
        </is>
      </c>
      <c r="C24" s="2" t="n">
        <v>1</v>
      </c>
      <c r="D24" s="2" t="inlineStr">
        <is>
          <t>resistor</t>
        </is>
      </c>
      <c r="E24" s="2" t="inlineStr">
        <is>
          <t>1 installed; buy minimum pack</t>
        </is>
      </c>
      <c r="F24" s="2" t="inlineStr">
        <is>
          <t>4.7 kΩ, axial, 0.25 W, 1%</t>
        </is>
      </c>
      <c r="G24" s="2" t="inlineStr">
        <is>
          <t>SPEC READY</t>
        </is>
      </c>
      <c r="H24" s="2" t="inlineStr">
        <is>
          <t>R4; D7 HOME pull-up</t>
        </is>
      </c>
      <c r="I24" s="2" t="inlineStr">
        <is>
          <t>Earlier quantity 5 included 4 extras.</t>
        </is>
      </c>
    </row>
    <row r="25" ht="84" customHeight="1">
      <c r="A25" s="3" t="inlineStr">
        <is>
          <t>B24</t>
        </is>
      </c>
      <c r="B25" s="3" t="inlineStr">
        <is>
          <t>100 Ω 1/4 W 1% metal-film resistor</t>
        </is>
      </c>
      <c r="C25" s="3" t="n">
        <v>1</v>
      </c>
      <c r="D25" s="3" t="inlineStr">
        <is>
          <t>resistor</t>
        </is>
      </c>
      <c r="E25" s="3" t="inlineStr">
        <is>
          <t>1 installed; buy minimum pack</t>
        </is>
      </c>
      <c r="F25" s="3" t="inlineStr">
        <is>
          <t>100 Ω, axial, 0.25 W, 1%</t>
        </is>
      </c>
      <c r="G25" s="3" t="inlineStr">
        <is>
          <t>SPEC READY</t>
        </is>
      </c>
      <c r="H25" s="3" t="inlineStr">
        <is>
          <t>R5; D9 to Q1 gate series resistor</t>
        </is>
      </c>
      <c r="I25" s="3" t="inlineStr">
        <is>
          <t>Earlier quantity 5 included 4 extras.</t>
        </is>
      </c>
    </row>
    <row r="26" ht="84" customHeight="1">
      <c r="A26" s="2" t="inlineStr">
        <is>
          <t>B25</t>
        </is>
      </c>
      <c r="B26" s="2" t="inlineStr">
        <is>
          <t>100 µF 35 V radial electrolytic capacitor</t>
        </is>
      </c>
      <c r="C26" s="2" t="n">
        <v>1</v>
      </c>
      <c r="D26" s="2" t="inlineStr">
        <is>
          <t>capacitor</t>
        </is>
      </c>
      <c r="E26" s="2" t="inlineStr">
        <is>
          <t>1 installed; spare optional</t>
        </is>
      </c>
      <c r="F26" s="2" t="inlineStr">
        <is>
          <t>100 µF, 35 V, radial, preferably 105°C</t>
        </is>
      </c>
      <c r="G26" s="2" t="inlineStr">
        <is>
          <t>SPEC READY</t>
        </is>
      </c>
      <c r="H26" s="2" t="inlineStr">
        <is>
          <t>C1; VMOT to common GND</t>
        </is>
      </c>
      <c r="I26" s="2" t="inlineStr">
        <is>
          <t>Positive to VMOT, negative to GND; physically close to A4988. Earlier quantity 2 included a spare.</t>
        </is>
      </c>
    </row>
    <row r="27" ht="84" customHeight="1">
      <c r="A27" s="3" t="inlineStr">
        <is>
          <t>B26</t>
        </is>
      </c>
      <c r="B27" s="3" t="inlineStr">
        <is>
          <t>100 nF / 0.1 µF 50 V X7R ceramic capacitor</t>
        </is>
      </c>
      <c r="C27" s="3" t="n">
        <v>2</v>
      </c>
      <c r="D27" s="3" t="inlineStr">
        <is>
          <t>capacitors</t>
        </is>
      </c>
      <c r="E27" s="3" t="inlineStr">
        <is>
          <t>2 installed; buy minimum pack</t>
        </is>
      </c>
      <c r="F27" s="3" t="inlineStr">
        <is>
          <t>100 nF, 50 V, X7R, leaded for perfboard</t>
        </is>
      </c>
      <c r="G27" s="3" t="inlineStr">
        <is>
          <t>SPEC READY</t>
        </is>
      </c>
      <c r="H27" s="3" t="inlineStr">
        <is>
          <t>C2 A4988 VDD bypass; C3 HOME filter</t>
        </is>
      </c>
      <c r="I27" s="3" t="inlineStr">
        <is>
          <t>Earlier quantity 5 included 3 extras. Keep both circuit functions.</t>
        </is>
      </c>
    </row>
    <row r="28" ht="84" customHeight="1">
      <c r="A28" s="2" t="inlineStr">
        <is>
          <t>B27</t>
        </is>
      </c>
      <c r="B28" s="2" t="inlineStr">
        <is>
          <t>SPST DC power switch</t>
        </is>
      </c>
      <c r="C28" s="2" t="n">
        <v>1</v>
      </c>
      <c r="D28" s="2" t="inlineStr">
        <is>
          <t>switch</t>
        </is>
      </c>
      <c r="E28" s="2" t="inlineStr">
        <is>
          <t>1</t>
        </is>
      </c>
      <c r="F28" s="2" t="inlineStr">
        <is>
          <t>Documented rating &gt;=3 A at 12 V DC</t>
        </is>
      </c>
      <c r="G28" s="2" t="inlineStr">
        <is>
          <t>SPEC READY</t>
        </is>
      </c>
      <c r="H28" s="2" t="inlineStr">
        <is>
          <t>SW1; external motor/LED supply switch</t>
        </is>
      </c>
      <c r="I28" s="2" t="inlineStr">
        <is>
          <t>Not interchangeable with home microswitch SW2. Cutting this switch does not remove Uno USB power.</t>
        </is>
      </c>
    </row>
    <row r="29" ht="84" customHeight="1">
      <c r="A29" s="3" t="inlineStr">
        <is>
          <t>B28</t>
        </is>
      </c>
      <c r="B29" s="3" t="inlineStr">
        <is>
          <t>Inline fuse holder</t>
        </is>
      </c>
      <c r="C29" s="3" t="n">
        <v>1</v>
      </c>
      <c r="D29" s="3" t="inlineStr">
        <is>
          <t>holder</t>
        </is>
      </c>
      <c r="E29" s="3" t="inlineStr">
        <is>
          <t>1</t>
        </is>
      </c>
      <c r="F29" s="3" t="inlineStr">
        <is>
          <t>Matches fuse dimensions; suitable current/DC voltage rating; insulated</t>
        </is>
      </c>
      <c r="G29" s="3" t="inlineStr">
        <is>
          <t>VERIFY FUSE</t>
        </is>
      </c>
      <c r="H29" s="3" t="inlineStr">
        <is>
          <t>F1 holder</t>
        </is>
      </c>
      <c r="I29" s="3" t="inlineStr">
        <is>
          <t>Keep holder and fuse physically compatible.</t>
        </is>
      </c>
    </row>
    <row r="30" ht="84" customHeight="1">
      <c r="A30" s="2" t="inlineStr">
        <is>
          <t>B29</t>
        </is>
      </c>
      <c r="B30" s="2" t="inlineStr">
        <is>
          <t>2 A fuse</t>
        </is>
      </c>
      <c r="C30" s="2" t="n">
        <v>1</v>
      </c>
      <c r="D30" s="2" t="inlineStr">
        <is>
          <t>fuse installed</t>
        </is>
      </c>
      <c r="E30" s="2" t="inlineStr">
        <is>
          <t>1 installed; spare fuses optional</t>
        </is>
      </c>
      <c r="F30" s="2" t="inlineStr">
        <is>
          <t>Adequate DC rating; selected format and time characteristic</t>
        </is>
      </c>
      <c r="G30" s="2" t="inlineStr">
        <is>
          <t>VERIFY INRUSH</t>
        </is>
      </c>
      <c r="H30" s="2" t="inlineStr">
        <is>
          <t>F1; external power protection</t>
        </is>
      </c>
      <c r="I30" s="2" t="inlineStr">
        <is>
          <t>2 A is provisional circuit choice; verify startup demand and wire protection during bench testing. Earlier 3 were 1 installed + 2 spares.</t>
        </is>
      </c>
    </row>
    <row r="31" ht="84" customHeight="1">
      <c r="A31" s="3" t="inlineStr">
        <is>
          <t>B30</t>
        </is>
      </c>
      <c r="B31" s="3" t="inlineStr">
        <is>
          <t>Female DC barrel jack to screw terminal</t>
        </is>
      </c>
      <c r="C31" s="3" t="n">
        <v>1</v>
      </c>
      <c r="D31" s="3" t="inlineStr">
        <is>
          <t>power connector</t>
        </is>
      </c>
      <c r="E31" s="3" t="inlineStr">
        <is>
          <t>1 only if adapter lead requires it</t>
        </is>
      </c>
      <c r="F31" s="3" t="inlineStr">
        <is>
          <t>Matches B05 connector; typically 5.5 x 2.1 mm centre-positive, but verify</t>
        </is>
      </c>
      <c r="G31" s="3" t="inlineStr">
        <is>
          <t>CONDITIONAL PURCHASE</t>
        </is>
      </c>
      <c r="H31" s="3" t="inlineStr">
        <is>
          <t>PS1 adapter connection</t>
        </is>
      </c>
      <c r="I31" s="3" t="inlineStr">
        <is>
          <t>Do not buy if equivalent suitable connector is already included in power assembly.</t>
        </is>
      </c>
    </row>
    <row r="32" ht="84" customHeight="1">
      <c r="A32" s="2" t="inlineStr">
        <is>
          <t>B31</t>
        </is>
      </c>
      <c r="B32" s="2" t="inlineStr">
        <is>
          <t>2-position screw terminal blocks</t>
        </is>
      </c>
      <c r="C32" s="2" t="n">
        <v>5</v>
      </c>
      <c r="D32" s="2" t="inlineStr">
        <is>
          <t>blocks in proposed perfboard layout</t>
        </is>
      </c>
      <c r="E32" s="2" t="inlineStr">
        <is>
          <t>5 if using this termination plan; existing equivalent may replace them</t>
        </is>
      </c>
      <c r="F32" s="2" t="inlineStr">
        <is>
          <t>&gt;=3 A; conductor-compatible; 5.08 mm pitch works with 2.54 mm perfboard spacing</t>
        </is>
      </c>
      <c r="G32" s="2" t="inlineStr">
        <is>
          <t>LAYOUT CHOICE</t>
        </is>
      </c>
      <c r="H32" s="2" t="inlineStr">
        <is>
          <t>DC input pair; LED pair; motor coil A pair; motor coil B pair; logic supply pair</t>
        </is>
      </c>
      <c r="I32" s="2" t="inlineStr">
        <is>
          <t>Five is a specified implementation allowance, not an IC requirement. Count may change if using different connectors; do not buy both complete connector schemes.</t>
        </is>
      </c>
    </row>
    <row r="33" ht="84" customHeight="1">
      <c r="A33" s="3" t="inlineStr">
        <is>
          <t>B32</t>
        </is>
      </c>
      <c r="B33" s="3" t="inlineStr">
        <is>
          <t>Signal wiring / Arduino jumper pigtail harness</t>
        </is>
      </c>
      <c r="C33" s="3" t="n">
        <v>1</v>
      </c>
      <c r="D33" s="3" t="inlineStr">
        <is>
          <t>harness kit</t>
        </is>
      </c>
      <c r="E33" s="3" t="inlineStr">
        <is>
          <t>1 combined kit, not two mandatory separate kits</t>
        </is>
      </c>
      <c r="F33" s="3" t="inlineStr">
        <is>
          <t>24-26 AWG signal wire plus compatible male/female jumper ends as needed</t>
        </is>
      </c>
      <c r="G33" s="3" t="inlineStr">
        <is>
          <t>SPEC READY</t>
        </is>
      </c>
      <c r="H33" s="3" t="inlineStr">
        <is>
          <t>Uno-to-driver/home/gate signals and 5 V distribution</t>
        </is>
      </c>
      <c r="I33" s="3" t="inlineStr">
        <is>
          <t>Earlier hookup-wire and jumper sets overlapped. Include usable connections to Uno headers; no high-current motor/LED path through flimsy jumpers.</t>
        </is>
      </c>
    </row>
    <row r="34" ht="84" customHeight="1">
      <c r="A34" s="2" t="inlineStr">
        <is>
          <t>B33</t>
        </is>
      </c>
      <c r="B34" s="2" t="inlineStr">
        <is>
          <t>Power wiring</t>
        </is>
      </c>
      <c r="C34" s="2" t="n">
        <v>1</v>
      </c>
      <c r="D34" s="2" t="inlineStr">
        <is>
          <t>wire assortment</t>
        </is>
      </c>
      <c r="E34" s="2" t="inlineStr">
        <is>
          <t>A few metres; cut lengths after layout</t>
        </is>
      </c>
      <c r="F34" s="2" t="inlineStr">
        <is>
          <t>20-22 AWG stranded for short runs; insulation/rating appropriate; correct terminations</t>
        </is>
      </c>
      <c r="G34" s="2" t="inlineStr">
        <is>
          <t>SPEC READY</t>
        </is>
      </c>
      <c r="H34" s="2" t="inlineStr">
        <is>
          <t>Adapter, driver VMOT, motor and LED current paths</t>
        </is>
      </c>
      <c r="I34" s="2" t="inlineStr">
        <is>
          <t>Route high-current returns directly to supply ground; join logic reference without passing load current through Uno.</t>
        </is>
      </c>
    </row>
    <row r="35" ht="84" customHeight="1">
      <c r="A35" s="3" t="inlineStr">
        <is>
          <t>B34</t>
        </is>
      </c>
      <c r="B35" s="3" t="inlineStr">
        <is>
          <t>Solderable perfboard</t>
        </is>
      </c>
      <c r="C35" s="3" t="n">
        <v>1</v>
      </c>
      <c r="D35" s="3" t="inlineStr">
        <is>
          <t>board assembly</t>
        </is>
      </c>
      <c r="E35" s="3" t="inlineStr">
        <is>
          <t>1 suitably sized board; second only if layout demands it</t>
        </is>
      </c>
      <c r="F35" s="3" t="inlineStr">
        <is>
          <t>Supports driver sockets, resistors, capacitors and terminals with insulation/clearance</t>
        </is>
      </c>
      <c r="G35" s="3" t="inlineStr">
        <is>
          <t>VERIFY LAYOUT</t>
        </is>
      </c>
      <c r="H35" s="3" t="inlineStr">
        <is>
          <t>Interconnect assembly</t>
        </is>
      </c>
      <c r="I35" s="3" t="inlineStr">
        <is>
          <t>Earlier 2 were an allowance, not an established requirement. Secure board on standoffs; mount C1 close to driver.</t>
        </is>
      </c>
    </row>
    <row r="36" ht="84" customHeight="1">
      <c r="A36" s="2" t="inlineStr">
        <is>
          <t>B35</t>
        </is>
      </c>
      <c r="B36" s="2" t="inlineStr">
        <is>
          <t>A4988 carrier pin headers and mating sockets</t>
        </is>
      </c>
      <c r="C36" s="2" t="n">
        <v>1</v>
      </c>
      <c r="D36" s="2" t="inlineStr">
        <is>
          <t>connector set</t>
        </is>
      </c>
      <c r="E36" s="2" t="inlineStr">
        <is>
          <t>2 x 8-pin female socket strips; add 2 x 8-pin male headers only if carrier lacks them</t>
        </is>
      </c>
      <c r="F36" s="2" t="inlineStr">
        <is>
          <t>2.54 mm pitch; actual carrier compatible; soldered securely</t>
        </is>
      </c>
      <c r="G36" s="2" t="inlineStr">
        <is>
          <t>CHECK BUNDLE</t>
        </is>
      </c>
      <c r="H36" s="2" t="inlineStr">
        <is>
          <t>Connects driver carrier to perfboard</t>
        </is>
      </c>
      <c r="I36" s="2" t="inlineStr">
        <is>
          <t>Previously missing/implicit. Not a breadboard purchase. Verify header length and spacing before assembly.</t>
        </is>
      </c>
    </row>
    <row r="37" ht="84" customHeight="1">
      <c r="A37" s="3" t="inlineStr">
        <is>
          <t>B36</t>
        </is>
      </c>
      <c r="B37" s="3" t="inlineStr">
        <is>
          <t>Heat-shrink insulation and cable restraints</t>
        </is>
      </c>
      <c r="C37" s="3" t="n">
        <v>1</v>
      </c>
      <c r="D37" s="3" t="inlineStr">
        <is>
          <t>small assortment</t>
        </is>
      </c>
      <c r="E37" s="3" t="inlineStr">
        <is>
          <t>1 assortment or available lab stock</t>
        </is>
      </c>
      <c r="F37" s="3" t="inlineStr">
        <is>
          <t>Sizes matched to joints; cable ties/strain relief where needed</t>
        </is>
      </c>
      <c r="G37" s="3" t="inlineStr">
        <is>
          <t>SPEC READY</t>
        </is>
      </c>
      <c r="H37" s="3" t="inlineStr">
        <is>
          <t>Insulates connections and secures cables</t>
        </is>
      </c>
      <c r="I37" s="3" t="inlineStr">
        <is>
          <t>Existing supplies are sufficient; no need for multiple large kits.</t>
        </is>
      </c>
    </row>
    <row r="38" ht="84" customHeight="1">
      <c r="A38" s="2" t="inlineStr">
        <is>
          <t>B37</t>
        </is>
      </c>
      <c r="B38" s="2" t="inlineStr">
        <is>
          <t>Uno USB DATA cable</t>
        </is>
      </c>
      <c r="C38" s="2" t="n">
        <v>1</v>
      </c>
      <c r="D38" s="2" t="inlineStr">
        <is>
          <t>cable in use</t>
        </is>
      </c>
      <c r="E38" s="2" t="inlineStr">
        <is>
          <t>0 if included/owned; otherwise 1</t>
        </is>
      </c>
      <c r="F38" s="2" t="inlineStr">
        <is>
          <t>Matches board USB port; standard Uno R3 normally USB-B; laptop-compatible other end</t>
        </is>
      </c>
      <c r="G38" s="2" t="inlineStr">
        <is>
          <t>CHECK BUNDLE</t>
        </is>
      </c>
      <c r="H38" s="2" t="inlineStr">
        <is>
          <t>Laptop -&gt; Uno USB power/data</t>
        </is>
      </c>
      <c r="I38" s="2" t="inlineStr">
        <is>
          <t>Do not buy a charging-only cable. Camera normally has its own USB lead; do not add a duplicate camera cable without need.</t>
        </is>
      </c>
    </row>
    <row r="39" ht="84" customHeight="1">
      <c r="A39" s="3" t="inlineStr">
        <is>
          <t>B38</t>
        </is>
      </c>
      <c r="B39" s="3" t="inlineStr">
        <is>
          <t>Clear uncoloured solid polycarbonate coupon</t>
        </is>
      </c>
      <c r="C39" s="3" t="n">
        <v>1</v>
      </c>
      <c r="D39" s="3" t="inlineStr">
        <is>
          <t>specimen minimum</t>
        </is>
      </c>
      <c r="E39" s="3" t="inlineStr">
        <is>
          <t>1 minimum; additional independent specimens for later tests</t>
        </is>
      </c>
      <c r="F39" s="3" t="inlineStr">
        <is>
          <t>Nominal 200 x 40 x 5 mm; clear uncoated surface; measure actual thickness</t>
        </is>
      </c>
      <c r="G39" s="3" t="inlineStr">
        <is>
          <t>VERIFY MATERIAL</t>
        </is>
      </c>
      <c r="H39" s="3" t="inlineStr">
        <is>
          <t>Specimen for initial optical acquisition</t>
        </is>
      </c>
      <c r="I39" s="3" t="inlineStr">
        <is>
          <t>One initial material is sufficient. PMMA is optional, not required simultaneously. Initial inspection can examine existing residual patterns; no-load holder does not provide controlled applied stress.</t>
        </is>
      </c>
    </row>
  </sheetData>
  <autoFilter ref="A1:I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4" customWidth="1" min="2" max="2"/>
    <col width="42" customWidth="1" min="3" max="3"/>
    <col width="50" customWidth="1" min="4" max="4"/>
    <col width="100" customWidth="1" min="5" max="5"/>
  </cols>
  <sheetData>
    <row r="1" ht="44" customHeight="1">
      <c r="A1" s="1" t="inlineStr">
        <is>
          <t>ID</t>
        </is>
      </c>
      <c r="B1" s="1" t="inlineStr">
        <is>
          <t>Item</t>
        </is>
      </c>
      <c r="C1" s="1" t="inlineStr">
        <is>
          <t>Classification</t>
        </is>
      </c>
      <c r="D1" s="1" t="inlineStr">
        <is>
          <t>Quantity / timing</t>
        </is>
      </c>
      <c r="E1" s="1" t="inlineStr">
        <is>
          <t>Why / condition</t>
        </is>
      </c>
    </row>
    <row r="2" ht="84" customHeight="1">
      <c r="A2" s="2" t="inlineStr">
        <is>
          <t>O01</t>
        </is>
      </c>
      <c r="B2" s="2" t="inlineStr">
        <is>
          <t>Separate opal diffuser</t>
        </is>
      </c>
      <c r="C2" s="2" t="inlineStr">
        <is>
          <t>CONDITIONAL</t>
        </is>
      </c>
      <c r="D2" s="2" t="inlineStr">
        <is>
          <t>1 only if B09 lacks effective diffusion</t>
        </is>
      </c>
      <c r="E2" s="2" t="inlineStr">
        <is>
          <t>Place before P1. Integrated diffused panel is the default; do not buy twice.</t>
        </is>
      </c>
    </row>
    <row r="3" ht="84" customHeight="1">
      <c r="A3" s="3" t="inlineStr">
        <is>
          <t>O02</t>
        </is>
      </c>
      <c r="B3" s="3" t="inlineStr">
        <is>
          <t>Clear PMMA / acrylic comparison coupon</t>
        </is>
      </c>
      <c r="C3" s="3" t="inlineStr">
        <is>
          <t>OPTIONAL LATER</t>
        </is>
      </c>
      <c r="D3" s="3" t="inlineStr">
        <is>
          <t>0 for initial build</t>
        </is>
      </c>
      <c r="E3" s="3" t="inlineStr">
        <is>
          <t>Second material is not required to make the system operate. Separate material calibration if later added.</t>
        </is>
      </c>
    </row>
    <row r="4" ht="84" customHeight="1">
      <c r="A4" s="2" t="inlineStr">
        <is>
          <t>O03</t>
        </is>
      </c>
      <c r="B4" s="2" t="inlineStr">
        <is>
          <t>Extra MOSFET / home switch / bulk capacitor</t>
        </is>
      </c>
      <c r="C4" s="2" t="inlineStr">
        <is>
          <t>OPTIONAL SPARES</t>
        </is>
      </c>
      <c r="D4" s="2" t="inlineStr">
        <is>
          <t>0 extras required</t>
        </is>
      </c>
      <c r="E4" s="2" t="inlineStr">
        <is>
          <t>One of each is installed. Spares are useful but not part of minimum circuit.</t>
        </is>
      </c>
    </row>
    <row r="5" ht="84" customHeight="1">
      <c r="A5" s="3" t="inlineStr">
        <is>
          <t>O04</t>
        </is>
      </c>
      <c r="B5" s="3" t="inlineStr">
        <is>
          <t>Extra resistors / ceramic capacitors / fuses</t>
        </is>
      </c>
      <c r="C5" s="3" t="inlineStr">
        <is>
          <t>OPTIONAL SPARES / PACK EXCESS</t>
        </is>
      </c>
      <c r="D5" s="3" t="inlineStr">
        <is>
          <t>Only minimum pack excess</t>
        </is>
      </c>
      <c r="E5" s="3" t="inlineStr">
        <is>
          <t>Installed counts: 10k x4; 4.7k x1; 100Ω x1; 100nF x2; 100µF x1; fuse x1.</t>
        </is>
      </c>
    </row>
    <row r="6" ht="84" customHeight="1">
      <c r="A6" s="2" t="inlineStr">
        <is>
          <t>O05</t>
        </is>
      </c>
      <c r="B6" s="2" t="inlineStr">
        <is>
          <t>Matte-black light shield / enclosure</t>
        </is>
      </c>
      <c r="C6" s="2" t="inlineStr">
        <is>
          <t>RECOMMENDED</t>
        </is>
      </c>
      <c r="D6" s="2" t="inlineStr">
        <is>
          <t>1 if ambient illumination is not well controlled</t>
        </is>
      </c>
      <c r="E6" s="2" t="inlineStr">
        <is>
          <t>Strongly useful for repeatable acquisition but not an electrical circuit component. Use existing controlled enclosure if available.</t>
        </is>
      </c>
    </row>
    <row r="7" ht="84" customHeight="1">
      <c r="A7" s="3" t="inlineStr">
        <is>
          <t>O06</t>
        </is>
      </c>
      <c r="B7" s="3" t="inlineStr">
        <is>
          <t>Powered USB hub / USB-C adapters</t>
        </is>
      </c>
      <c r="C7" s="3" t="inlineStr">
        <is>
          <t>CONDITIONAL</t>
        </is>
      </c>
      <c r="D7" s="3" t="inlineStr">
        <is>
          <t>Only if laptop connections/power require it</t>
        </is>
      </c>
      <c r="E7" s="3" t="inlineStr">
        <is>
          <t>Need simultaneous camera and Uno data connections; check bandwidth and USB power, not just socket count.</t>
        </is>
      </c>
    </row>
    <row r="8" ht="84" customHeight="1">
      <c r="A8" s="2" t="inlineStr">
        <is>
          <t>O07</t>
        </is>
      </c>
      <c r="B8" s="2" t="inlineStr">
        <is>
          <t>HX711 module + full-bridge load cell</t>
        </is>
      </c>
      <c r="C8" s="2" t="inlineStr">
        <is>
          <t>OPTIONAL MODULE</t>
        </is>
      </c>
      <c r="D8" s="2" t="inlineStr">
        <is>
          <t>0 for core build</t>
        </is>
      </c>
      <c r="E8" s="2" t="inlineStr">
        <is>
          <t>Shown as optional in existing circuit. Add together when recording applied force; DT D5, SCK D6, VCC 5 V and GND; bridge E±/A± matched to datasheet.</t>
        </is>
      </c>
    </row>
    <row r="9" ht="84" customHeight="1">
      <c r="A9" s="3" t="inlineStr">
        <is>
          <t>O08</t>
        </is>
      </c>
      <c r="B9" s="3" t="inlineStr">
        <is>
          <t>Rated loading frame / grips / load-cell mounting</t>
        </is>
      </c>
      <c r="C9" s="3" t="inlineStr">
        <is>
          <t>REQUIRED FOR CONTROLLED APPLIED-LOAD TESTS</t>
        </is>
      </c>
      <c r="D9" s="3" t="inlineStr">
        <is>
          <t>Not part of qualitative acquisition core</t>
        </is>
      </c>
      <c r="E9" s="3" t="inlineStr">
        <is>
          <t>Use a suitable laboratory frame if available. A specimen holder alone cannot apply known tensile force; adding only a load cell does not make a loading system.</t>
        </is>
      </c>
    </row>
    <row r="10" ht="84" customHeight="1">
      <c r="A10" s="2" t="inlineStr">
        <is>
          <t>O09</t>
        </is>
      </c>
      <c r="B10" s="2" t="inlineStr">
        <is>
          <t>Encoder / closed-loop motion sensing</t>
        </is>
      </c>
      <c r="C10" s="2" t="inlineStr">
        <is>
          <t>OPTIONAL FUTURE</t>
        </is>
      </c>
      <c r="D10" s="2" t="inlineStr">
        <is>
          <t>0 initially</t>
        </is>
      </c>
      <c r="E10" s="2" t="inlineStr">
        <is>
          <t>Homing plus step counting is the current design; encoder would require additional design and firmware.</t>
        </is>
      </c>
    </row>
    <row r="11" ht="84" customHeight="1">
      <c r="A11" s="3" t="inlineStr">
        <is>
          <t>O10</t>
        </is>
      </c>
      <c r="B11" s="3" t="inlineStr">
        <is>
          <t>Laser / quarter-wave plates / spectral LEDs</t>
        </is>
      </c>
      <c r="C11" s="3" t="inlineStr">
        <is>
          <t>NOT IN CURRENT V1</t>
        </is>
      </c>
      <c r="D11" s="3" t="inlineStr">
        <is>
          <t>0</t>
        </is>
      </c>
      <c r="E11" s="3" t="inlineStr">
        <is>
          <t>These are future optical variants; adding them changes calibration/model requirements.</t>
        </is>
      </c>
    </row>
    <row r="12" ht="84" customHeight="1">
      <c r="A12" s="2" t="inlineStr">
        <is>
          <t>O11</t>
        </is>
      </c>
      <c r="B12" s="2" t="inlineStr">
        <is>
          <t>Second rotating analyzer holder</t>
        </is>
      </c>
      <c r="C12" s="2" t="inlineStr">
        <is>
          <t>DUPLICATE — DO NOT BUY</t>
        </is>
      </c>
      <c r="D12" s="2" t="inlineStr">
        <is>
          <t>0</t>
        </is>
      </c>
      <c r="E12" s="2" t="inlineStr">
        <is>
          <t>Already included in B11 annular ring assembly.</t>
        </is>
      </c>
    </row>
    <row r="13" ht="84" customHeight="1">
      <c r="A13" s="3" t="inlineStr">
        <is>
          <t>O12</t>
        </is>
      </c>
      <c r="B13" s="3" t="inlineStr">
        <is>
          <t>Large solderless breadboard</t>
        </is>
      </c>
      <c r="C13" s="3" t="inlineStr">
        <is>
          <t>OPTIONAL BENCH TOOL</t>
        </is>
      </c>
      <c r="D13" s="3" t="inlineStr">
        <is>
          <t>0 required for final circuit</t>
        </is>
      </c>
      <c r="E13" s="3" t="inlineStr">
        <is>
          <t>Perfboard implementation is selected; breadboard must not substitute for suitable high-current connections.</t>
        </is>
      </c>
    </row>
    <row r="14" ht="84" customHeight="1">
      <c r="A14" s="2" t="inlineStr">
        <is>
          <t>O13</t>
        </is>
      </c>
      <c r="B14" s="2" t="inlineStr">
        <is>
          <t>Separate LED constant-current driver</t>
        </is>
      </c>
      <c r="C14" s="2" t="inlineStr">
        <is>
          <t>NOT NEEDED WITH SPECIFIED PANEL</t>
        </is>
      </c>
      <c r="D14" s="2" t="inlineStr">
        <is>
          <t>0 if B09 includes current limiting</t>
        </is>
      </c>
      <c r="E14" s="2" t="inlineStr">
        <is>
          <t>If using a bare LED, this becomes a redesign requirement. Do not operate a bare power LED from 12 V directly.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6" customWidth="1" min="2" max="2"/>
    <col width="22" customWidth="1" min="3" max="3"/>
    <col width="14" customWidth="1" min="4" max="4"/>
    <col width="110" customWidth="1" min="5" max="5"/>
  </cols>
  <sheetData>
    <row r="1" ht="44" customHeight="1">
      <c r="A1" s="1" t="inlineStr">
        <is>
          <t>Old row</t>
        </is>
      </c>
      <c r="B1" s="1" t="inlineStr">
        <is>
          <t>Previous item</t>
        </is>
      </c>
      <c r="C1" s="1" t="inlineStr">
        <is>
          <t>Old suggested quantity</t>
        </is>
      </c>
      <c r="D1" s="1" t="inlineStr">
        <is>
          <t>New ID</t>
        </is>
      </c>
      <c r="E1" s="1" t="inlineStr">
        <is>
          <t>Decision / reason</t>
        </is>
      </c>
    </row>
    <row r="2" ht="84" customHeight="1">
      <c r="A2" s="2" t="n">
        <v>1</v>
      </c>
      <c r="B2" s="2" t="inlineStr">
        <is>
          <t>Uno R3 compatible ATmega328P, 5V, 16MHz</t>
        </is>
      </c>
      <c r="C2" s="2" t="n">
        <v>1</v>
      </c>
      <c r="D2" s="2" t="inlineStr">
        <is>
          <t>B01</t>
        </is>
      </c>
      <c r="E2" s="2" t="inlineStr">
        <is>
          <t>Keep one.</t>
        </is>
      </c>
    </row>
    <row r="3" ht="84" customHeight="1">
      <c r="A3" s="3" t="n">
        <v>2</v>
      </c>
      <c r="B3" s="3" t="inlineStr">
        <is>
          <t>A4988 carrier with heatsink</t>
        </is>
      </c>
      <c r="C3" s="3" t="n">
        <v>1</v>
      </c>
      <c r="D3" s="3" t="inlineStr">
        <is>
          <t>B02</t>
        </is>
      </c>
      <c r="E3" s="3" t="inlineStr">
        <is>
          <t>Keep one set; count heatsink once.</t>
        </is>
      </c>
    </row>
    <row r="4" ht="84" customHeight="1">
      <c r="A4" s="2" t="n">
        <v>3</v>
      </c>
      <c r="B4" s="2" t="inlineStr">
        <is>
          <t>17HS4401 NEMA17 bipolar, 1.8 degree, 4 wire</t>
        </is>
      </c>
      <c r="C4" s="2" t="n">
        <v>1</v>
      </c>
      <c r="D4" s="2" t="inlineStr">
        <is>
          <t>B03</t>
        </is>
      </c>
      <c r="E4" s="2" t="inlineStr">
        <is>
          <t>Keep one; verify actual motor datasheet.</t>
        </is>
      </c>
    </row>
    <row r="5" ht="84" customHeight="1">
      <c r="A5" s="3" t="n">
        <v>4</v>
      </c>
      <c r="B5" s="3" t="inlineStr">
        <is>
          <t>Logitech C270 HD USB webcam 720p</t>
        </is>
      </c>
      <c r="C5" s="3" t="n">
        <v>1</v>
      </c>
      <c r="D5" s="3" t="inlineStr">
        <is>
          <t>B04</t>
        </is>
      </c>
      <c r="E5" s="3" t="inlineStr">
        <is>
          <t>Candidate only: camera controls and optics are a purchase gate.</t>
        </is>
      </c>
    </row>
    <row r="6" ht="84" customHeight="1">
      <c r="A6" s="2" t="n">
        <v>5</v>
      </c>
      <c r="B6" s="2" t="inlineStr">
        <is>
          <t>Isolated regulated 12V DC 3A enclosed adapter</t>
        </is>
      </c>
      <c r="C6" s="2" t="n">
        <v>1</v>
      </c>
      <c r="D6" s="2" t="inlineStr">
        <is>
          <t>B05</t>
        </is>
      </c>
      <c r="E6" s="2" t="inlineStr">
        <is>
          <t>Keep one.</t>
        </is>
      </c>
    </row>
    <row r="7" ht="84" customHeight="1">
      <c r="A7" s="3" t="n">
        <v>6</v>
      </c>
      <c r="B7" s="3" t="inlineStr">
        <is>
          <t>FQP30N06L logic-level N-MOSFET TO-220</t>
        </is>
      </c>
      <c r="C7" s="3" t="n">
        <v>2</v>
      </c>
      <c r="D7" s="3" t="inlineStr">
        <is>
          <t>B06</t>
        </is>
      </c>
      <c r="E7" s="3" t="inlineStr">
        <is>
          <t>Reduce 2 to 1 installed; spare optional.</t>
        </is>
      </c>
    </row>
    <row r="8" ht="84" customHeight="1">
      <c r="A8" s="2" t="n">
        <v>7</v>
      </c>
      <c r="B8" s="2" t="inlineStr">
        <is>
          <t>Omron SS-5GL SPDT lever microswitch</t>
        </is>
      </c>
      <c r="C8" s="2" t="n">
        <v>2</v>
      </c>
      <c r="D8" s="2" t="inlineStr">
        <is>
          <t>B07</t>
        </is>
      </c>
      <c r="E8" s="2" t="inlineStr">
        <is>
          <t>Reduce 2 to 1 installed; spare optional.</t>
        </is>
      </c>
    </row>
    <row r="9" ht="84" customHeight="1">
      <c r="A9" s="3" t="n">
        <v>8</v>
      </c>
      <c r="B9" s="3" t="inlineStr">
        <is>
          <t>Visible linear polarizing film 150 x 150 mm non-adhesive</t>
        </is>
      </c>
      <c r="C9" s="3" t="n">
        <v>2</v>
      </c>
      <c r="D9" s="3" t="inlineStr">
        <is>
          <t>B08</t>
        </is>
      </c>
      <c r="E9" s="3" t="inlineStr">
        <is>
          <t>Need 2 optical pieces, potentially cut from 1 sheet; verify cut layout.</t>
        </is>
      </c>
    </row>
    <row r="10" ht="84" customHeight="1">
      <c r="A10" s="2" t="n">
        <v>9</v>
      </c>
      <c r="B10" s="2" t="inlineStr">
        <is>
          <t>12V white LED backlight panel &gt;=100 x 50 mm, &lt;=0.5A</t>
        </is>
      </c>
      <c r="C10" s="2" t="n">
        <v>1</v>
      </c>
      <c r="D10" s="2" t="inlineStr">
        <is>
          <t>B09</t>
        </is>
      </c>
      <c r="E10" s="2" t="inlineStr">
        <is>
          <t>Keep one, require current-limited diffused panel.</t>
        </is>
      </c>
    </row>
    <row r="11" ht="84" customHeight="1">
      <c r="A11" s="3" t="n">
        <v>10</v>
      </c>
      <c r="B11" s="3" t="inlineStr">
        <is>
          <t>Opal acrylic diffuser approximately 150 x 100 x 1-2 mm</t>
        </is>
      </c>
      <c r="C11" s="3" t="n">
        <v>1</v>
      </c>
      <c r="D11" s="3" t="inlineStr">
        <is>
          <t>O01</t>
        </is>
      </c>
      <c r="E11" s="3" t="inlineStr">
        <is>
          <t>Only buy separate diffuser if panel does not include adequate diffusion.</t>
        </is>
      </c>
    </row>
    <row r="12" ht="84" customHeight="1">
      <c r="A12" s="2" t="n">
        <v>11</v>
      </c>
      <c r="B12" s="2" t="inlineStr">
        <is>
          <t>Fixed polarizing-film holder</t>
        </is>
      </c>
      <c r="C12" s="2" t="n">
        <v>1</v>
      </c>
      <c r="D12" s="2" t="inlineStr">
        <is>
          <t>B10</t>
        </is>
      </c>
      <c r="E12" s="2" t="inlineStr">
        <is>
          <t>Keep fixed holder.</t>
        </is>
      </c>
    </row>
    <row r="13" ht="84" customHeight="1">
      <c r="A13" s="3" t="n">
        <v>12</v>
      </c>
      <c r="B13" s="3" t="inlineStr">
        <is>
          <t>Adjustable webcam mount compatible with C270</t>
        </is>
      </c>
      <c r="C13" s="3" t="n">
        <v>1</v>
      </c>
      <c r="D13" s="3" t="inlineStr">
        <is>
          <t>B17</t>
        </is>
      </c>
      <c r="E13" s="3" t="inlineStr">
        <is>
          <t>Keep mount; must match chosen camera.</t>
        </is>
      </c>
    </row>
    <row r="14" ht="84" customHeight="1">
      <c r="A14" s="2" t="n">
        <v>13</v>
      </c>
      <c r="B14" s="2" t="inlineStr">
        <is>
          <t>Matte black enclosure panels / foam board</t>
        </is>
      </c>
      <c r="C14" s="2" t="n">
        <v>1</v>
      </c>
      <c r="D14" s="2" t="inlineStr">
        <is>
          <t>O05</t>
        </is>
      </c>
      <c r="E14" s="2" t="inlineStr">
        <is>
          <t>Recommended ambient-light control; not a mandatory separate purchase if provided by lab.</t>
        </is>
      </c>
    </row>
    <row r="15" ht="84" customHeight="1">
      <c r="A15" s="3" t="n">
        <v>14</v>
      </c>
      <c r="B15" s="3" t="inlineStr">
        <is>
          <t>GT2 20T pulley 2mm pitch, 5mm bore, 6mm belt width</t>
        </is>
      </c>
      <c r="C15" s="3" t="n">
        <v>1</v>
      </c>
      <c r="D15" s="3" t="inlineStr">
        <is>
          <t>B13</t>
        </is>
      </c>
      <c r="E15" s="3" t="inlineStr">
        <is>
          <t>Keep 20T pulley; verify bore/profile.</t>
        </is>
      </c>
    </row>
    <row r="16" ht="84" customHeight="1">
      <c r="A16" s="2" t="n">
        <v>15</v>
      </c>
      <c r="B16" s="2" t="inlineStr">
        <is>
          <t>CUSTOM GT2 80T annular analyzer pulley / holder</t>
        </is>
      </c>
      <c r="C16" s="2" t="n">
        <v>1</v>
      </c>
      <c r="D16" s="2" t="inlineStr">
        <is>
          <t>B11</t>
        </is>
      </c>
      <c r="E16" s="2" t="inlineStr">
        <is>
          <t>Keep single combined ring AND rotating holder, fabrication pending.</t>
        </is>
      </c>
    </row>
    <row r="17" ht="84" customHeight="1">
      <c r="A17" s="3" t="n">
        <v>16</v>
      </c>
      <c r="B17" s="3" t="inlineStr">
        <is>
          <t>GT2 closed-loop belt 2mm pitch 6mm wide</t>
        </is>
      </c>
      <c r="C17" s="3" t="n">
        <v>1</v>
      </c>
      <c r="D17" s="3" t="inlineStr">
        <is>
          <t>B12</t>
        </is>
      </c>
      <c r="E17" s="3" t="inlineStr">
        <is>
          <t>Keep belt but do not order unknown length.</t>
        </is>
      </c>
    </row>
    <row r="18" ht="84" customHeight="1">
      <c r="A18" s="2" t="n">
        <v>17</v>
      </c>
      <c r="B18" s="2" t="inlineStr">
        <is>
          <t>Analyzer bearing / roller support assembly</t>
        </is>
      </c>
      <c r="C18" s="2" t="n">
        <v>1</v>
      </c>
      <c r="D18" s="2" t="inlineStr">
        <is>
          <t>B14</t>
        </is>
      </c>
      <c r="E18" s="2" t="inlineStr">
        <is>
          <t>Keep support assembly; do not guess bearing size.</t>
        </is>
      </c>
    </row>
    <row r="19" ht="84" customHeight="1">
      <c r="A19" s="3" t="n">
        <v>18</v>
      </c>
      <c r="B19" s="3" t="inlineStr">
        <is>
          <t>NEMA17 L mounting bracket</t>
        </is>
      </c>
      <c r="C19" s="3" t="n">
        <v>1</v>
      </c>
      <c r="D19" s="3" t="inlineStr">
        <is>
          <t>B15</t>
        </is>
      </c>
      <c r="E19" s="3" t="inlineStr">
        <is>
          <t>Keep adjustable motor mount; include belt tension provision.</t>
        </is>
      </c>
    </row>
    <row r="20" ht="84" customHeight="1">
      <c r="A20" s="2" t="n">
        <v>19</v>
      </c>
      <c r="B20" s="2" t="inlineStr">
        <is>
          <t>Rigid base plate approximately 300 x 200 mm</t>
        </is>
      </c>
      <c r="C20" s="2" t="n">
        <v>1</v>
      </c>
      <c r="D20" s="2" t="inlineStr">
        <is>
          <t>B20</t>
        </is>
      </c>
      <c r="E20" s="2" t="inlineStr">
        <is>
          <t>Keep base; dimensions depend on camera/mechanics layout.</t>
        </is>
      </c>
    </row>
    <row r="21" ht="84" customHeight="1">
      <c r="A21" s="3" t="n">
        <v>20</v>
      </c>
      <c r="B21" s="3" t="inlineStr">
        <is>
          <t>M3/M4 screws nuts washers spacers assortment</t>
        </is>
      </c>
      <c r="C21" s="3" t="n">
        <v>1</v>
      </c>
      <c r="D21" s="3" t="inlineStr">
        <is>
          <t>B21</t>
        </is>
      </c>
      <c r="E21" s="3" t="inlineStr">
        <is>
          <t>Keep one coordinated hardware kit; dimensions/count from drawing.</t>
        </is>
      </c>
    </row>
    <row r="22" ht="84" customHeight="1">
      <c r="A22" s="2" t="n">
        <v>21</v>
      </c>
      <c r="B22" s="2" t="inlineStr">
        <is>
          <t>10 kohm 1/4W 1% metal-film resistor</t>
        </is>
      </c>
      <c r="C22" s="2" t="n">
        <v>10</v>
      </c>
      <c r="D22" s="2" t="inlineStr">
        <is>
          <t>B22</t>
        </is>
      </c>
      <c r="E22" s="2" t="inlineStr">
        <is>
          <t>Reduce 10 to 4 installed.</t>
        </is>
      </c>
    </row>
    <row r="23" ht="84" customHeight="1">
      <c r="A23" s="3" t="n">
        <v>22</v>
      </c>
      <c r="B23" s="3" t="inlineStr">
        <is>
          <t>4.7 kohm 1/4W 1% metal-film resistor</t>
        </is>
      </c>
      <c r="C23" s="3" t="n">
        <v>5</v>
      </c>
      <c r="D23" s="3" t="inlineStr">
        <is>
          <t>B23</t>
        </is>
      </c>
      <c r="E23" s="3" t="inlineStr">
        <is>
          <t>Reduce 5 to 1 installed.</t>
        </is>
      </c>
    </row>
    <row r="24" ht="84" customHeight="1">
      <c r="A24" s="2" t="n">
        <v>23</v>
      </c>
      <c r="B24" s="2" t="inlineStr">
        <is>
          <t>100 ohm 1/4W 1% metal-film resistor</t>
        </is>
      </c>
      <c r="C24" s="2" t="n">
        <v>5</v>
      </c>
      <c r="D24" s="2" t="inlineStr">
        <is>
          <t>B24</t>
        </is>
      </c>
      <c r="E24" s="2" t="inlineStr">
        <is>
          <t>Reduce 5 to 1 installed.</t>
        </is>
      </c>
    </row>
    <row r="25" ht="84" customHeight="1">
      <c r="A25" s="3" t="n">
        <v>24</v>
      </c>
      <c r="B25" s="3" t="inlineStr">
        <is>
          <t>100uF 35V radial electrolytic capacitor 105C</t>
        </is>
      </c>
      <c r="C25" s="3" t="n">
        <v>2</v>
      </c>
      <c r="D25" s="3" t="inlineStr">
        <is>
          <t>B25</t>
        </is>
      </c>
      <c r="E25" s="3" t="inlineStr">
        <is>
          <t>Reduce 2 to 1 installed.</t>
        </is>
      </c>
    </row>
    <row r="26" ht="84" customHeight="1">
      <c r="A26" s="2" t="n">
        <v>25</v>
      </c>
      <c r="B26" s="2" t="inlineStr">
        <is>
          <t>100nF 50V X7R ceramic capacitor</t>
        </is>
      </c>
      <c r="C26" s="2" t="n">
        <v>5</v>
      </c>
      <c r="D26" s="2" t="inlineStr">
        <is>
          <t>B26</t>
        </is>
      </c>
      <c r="E26" s="2" t="inlineStr">
        <is>
          <t>Reduce 5 to 2 installed.</t>
        </is>
      </c>
    </row>
    <row r="27" ht="84" customHeight="1">
      <c r="A27" s="3" t="n">
        <v>26</v>
      </c>
      <c r="B27" s="3" t="inlineStr">
        <is>
          <t>SPST power switch rated &gt;=3A at 12V DC</t>
        </is>
      </c>
      <c r="C27" s="3" t="n">
        <v>1</v>
      </c>
      <c r="D27" s="3" t="inlineStr">
        <is>
          <t>B27</t>
        </is>
      </c>
      <c r="E27" s="3" t="inlineStr">
        <is>
          <t>Keep one external power switch.</t>
        </is>
      </c>
    </row>
    <row r="28" ht="84" customHeight="1">
      <c r="A28" s="2" t="n">
        <v>27</v>
      </c>
      <c r="B28" s="2" t="inlineStr">
        <is>
          <t>Inline fuse holder</t>
        </is>
      </c>
      <c r="C28" s="2" t="n">
        <v>1</v>
      </c>
      <c r="D28" s="2" t="inlineStr">
        <is>
          <t>B28</t>
        </is>
      </c>
      <c r="E28" s="2" t="inlineStr">
        <is>
          <t>Keep one matching fuse holder.</t>
        </is>
      </c>
    </row>
    <row r="29" ht="84" customHeight="1">
      <c r="A29" s="3" t="n">
        <v>28</v>
      </c>
      <c r="B29" s="3" t="inlineStr">
        <is>
          <t>2A fuse with suitable DC voltage rating</t>
        </is>
      </c>
      <c r="C29" s="3" t="n">
        <v>3</v>
      </c>
      <c r="D29" s="3" t="inlineStr">
        <is>
          <t>B29</t>
        </is>
      </c>
      <c r="E29" s="3" t="inlineStr">
        <is>
          <t>Reduce 3 to 1 installed; reserve fuses optional.</t>
        </is>
      </c>
    </row>
    <row r="30" ht="84" customHeight="1">
      <c r="A30" s="2" t="n">
        <v>29</v>
      </c>
      <c r="B30" s="2" t="inlineStr">
        <is>
          <t>5.5 x 2.1mm female DC jack to screw terminal</t>
        </is>
      </c>
      <c r="C30" s="2" t="n">
        <v>1</v>
      </c>
      <c r="D30" s="2" t="inlineStr">
        <is>
          <t>B30</t>
        </is>
      </c>
      <c r="E30" s="2" t="inlineStr">
        <is>
          <t>Buy only if connector is not already included.</t>
        </is>
      </c>
    </row>
    <row r="31" ht="84" customHeight="1">
      <c r="A31" s="3" t="n">
        <v>30</v>
      </c>
      <c r="B31" s="3" t="inlineStr">
        <is>
          <t>2-position screw terminal blocks &gt;=3A</t>
        </is>
      </c>
      <c r="C31" s="3" t="n">
        <v>5</v>
      </c>
      <c r="D31" s="3" t="inlineStr">
        <is>
          <t>B31</t>
        </is>
      </c>
      <c r="E31" s="3" t="inlineStr">
        <is>
          <t>Five blocks is selected termination layout, not universal minimum.</t>
        </is>
      </c>
    </row>
    <row r="32" ht="84" customHeight="1">
      <c r="A32" s="2" t="n">
        <v>31</v>
      </c>
      <c r="B32" s="2" t="inlineStr">
        <is>
          <t>24-26 AWG signal hookup wire assortment</t>
        </is>
      </c>
      <c r="C32" s="2" t="n">
        <v>1</v>
      </c>
      <c r="D32" s="2" t="inlineStr">
        <is>
          <t>B32</t>
        </is>
      </c>
      <c r="E32" s="2" t="inlineStr">
        <is>
          <t>Consolidate with jumper pigtails into one signal harness.</t>
        </is>
      </c>
    </row>
    <row r="33" ht="84" customHeight="1">
      <c r="A33" s="3" t="n">
        <v>32</v>
      </c>
      <c r="B33" s="3" t="inlineStr">
        <is>
          <t>20-22 AWG stranded power wire assortment</t>
        </is>
      </c>
      <c r="C33" s="3" t="n">
        <v>1</v>
      </c>
      <c r="D33" s="3" t="inlineStr">
        <is>
          <t>B33</t>
        </is>
      </c>
      <c r="E33" s="3" t="inlineStr">
        <is>
          <t>Keep suitable power wires separately.</t>
        </is>
      </c>
    </row>
    <row r="34" ht="84" customHeight="1">
      <c r="A34" s="2" t="n">
        <v>33</v>
      </c>
      <c r="B34" s="2" t="inlineStr">
        <is>
          <t>Male-male and male-female jumper wire set</t>
        </is>
      </c>
      <c r="C34" s="2" t="n">
        <v>1</v>
      </c>
      <c r="D34" s="2" t="inlineStr">
        <is>
          <t>B32</t>
        </is>
      </c>
      <c r="E34" s="2" t="inlineStr">
        <is>
          <t>Consolidate with signal wire; not an additional compulsory duplicate kit.</t>
        </is>
      </c>
    </row>
    <row r="35" ht="84" customHeight="1">
      <c r="A35" s="3" t="n">
        <v>34</v>
      </c>
      <c r="B35" s="3" t="inlineStr">
        <is>
          <t>Solderable perfboard</t>
        </is>
      </c>
      <c r="C35" s="3" t="n">
        <v>2</v>
      </c>
      <c r="D35" s="3" t="inlineStr">
        <is>
          <t>B34</t>
        </is>
      </c>
      <c r="E35" s="3" t="inlineStr">
        <is>
          <t>One board initially; second only if layout requires it.</t>
        </is>
      </c>
    </row>
    <row r="36" ht="84" customHeight="1">
      <c r="A36" s="2" t="n">
        <v>35</v>
      </c>
      <c r="B36" s="2" t="inlineStr">
        <is>
          <t>Heat-shrink tubing assortment</t>
        </is>
      </c>
      <c r="C36" s="2" t="n">
        <v>1</v>
      </c>
      <c r="D36" s="2" t="inlineStr">
        <is>
          <t>B36</t>
        </is>
      </c>
      <c r="E36" s="2" t="inlineStr">
        <is>
          <t>Keep insulation/restraints; existing stock can be used.</t>
        </is>
      </c>
    </row>
    <row r="37" ht="84" customHeight="1">
      <c r="A37" s="3" t="n">
        <v>36</v>
      </c>
      <c r="B37" s="3" t="inlineStr">
        <is>
          <t>USB-A to USB-B Arduino cable</t>
        </is>
      </c>
      <c r="C37" s="3" t="n">
        <v>1</v>
      </c>
      <c r="D37" s="3" t="inlineStr">
        <is>
          <t>B37</t>
        </is>
      </c>
      <c r="E37" s="3" t="inlineStr">
        <is>
          <t>One cable in use; purchase zero if included/owned.</t>
        </is>
      </c>
    </row>
    <row r="38" ht="84" customHeight="1">
      <c r="A38" s="2" t="n">
        <v>37</v>
      </c>
      <c r="B38" s="2" t="inlineStr">
        <is>
          <t>Clear solid polycarbonate 5mm sheet, 200 x 40mm coupons</t>
        </is>
      </c>
      <c r="C38" s="2" t="n">
        <v>1</v>
      </c>
      <c r="D38" s="2" t="inlineStr">
        <is>
          <t>B38</t>
        </is>
      </c>
      <c r="E38" s="2" t="inlineStr">
        <is>
          <t>Use one polycarbonate specimen type initially; quantity grows with experiments.</t>
        </is>
      </c>
    </row>
    <row r="39" ht="84" customHeight="1">
      <c r="A39" s="3" t="n">
        <v>38</v>
      </c>
      <c r="B39" s="3" t="inlineStr">
        <is>
          <t>Clear cast PMMA acrylic 5mm sheet, 200 x 40mm coupons</t>
        </is>
      </c>
      <c r="C39" s="3" t="n">
        <v>1</v>
      </c>
      <c r="D39" s="3" t="inlineStr">
        <is>
          <t>O02</t>
        </is>
      </c>
      <c r="E39" s="3" t="inlineStr">
        <is>
          <t>PMMA is optional; remove from mandatory initial total.</t>
        </is>
      </c>
    </row>
  </sheetData>
  <autoFilter ref="A1:E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8" customWidth="1" min="2" max="2"/>
    <col width="105" customWidth="1" min="3" max="3"/>
    <col width="35" customWidth="1" min="4" max="4"/>
  </cols>
  <sheetData>
    <row r="1" ht="44" customHeight="1">
      <c r="A1" s="1" t="inlineStr">
        <is>
          <t>Source / terminal</t>
        </is>
      </c>
      <c r="B1" s="1" t="inlineStr">
        <is>
          <t>Destination</t>
        </is>
      </c>
      <c r="C1" s="1" t="inlineStr">
        <is>
          <t>Detail</t>
        </is>
      </c>
      <c r="D1" s="1" t="inlineStr">
        <is>
          <t>BOM IDs</t>
        </is>
      </c>
    </row>
    <row r="2" ht="84" customHeight="1">
      <c r="A2" s="2" t="inlineStr">
        <is>
          <t>Uno USB</t>
        </is>
      </c>
      <c r="B2" s="2" t="inlineStr">
        <is>
          <t>Laptop USB data port</t>
        </is>
      </c>
      <c r="C2" s="2" t="inlineStr">
        <is>
          <t>USB powers Uno; Vin/barrel unused</t>
        </is>
      </c>
      <c r="D2" s="2" t="inlineStr">
        <is>
          <t>B01,B37</t>
        </is>
      </c>
    </row>
    <row r="3" ht="84" customHeight="1">
      <c r="A3" s="3" t="inlineStr">
        <is>
          <t>Camera USB</t>
        </is>
      </c>
      <c r="B3" s="3" t="inlineStr">
        <is>
          <t>Laptop second data connection</t>
        </is>
      </c>
      <c r="C3" s="3" t="inlineStr">
        <is>
          <t>Not Uno GPIO; fix exposure/gain/WB</t>
        </is>
      </c>
      <c r="D3" s="3" t="inlineStr">
        <is>
          <t>B04</t>
        </is>
      </c>
    </row>
    <row r="4" ht="84" customHeight="1">
      <c r="A4" s="2" t="inlineStr">
        <is>
          <t>D2</t>
        </is>
      </c>
      <c r="B4" s="2" t="inlineStr">
        <is>
          <t>A4988 STEP</t>
        </is>
      </c>
      <c r="C4" s="2" t="inlineStr">
        <is>
          <t>R2 10k to GND</t>
        </is>
      </c>
      <c r="D4" s="2" t="inlineStr">
        <is>
          <t>B01,B02,B22</t>
        </is>
      </c>
    </row>
    <row r="5" ht="84" customHeight="1">
      <c r="A5" s="3" t="inlineStr">
        <is>
          <t>D3</t>
        </is>
      </c>
      <c r="B5" s="3" t="inlineStr">
        <is>
          <t>A4988 DIR</t>
        </is>
      </c>
      <c r="C5" s="3" t="inlineStr">
        <is>
          <t>R3 10k to GND</t>
        </is>
      </c>
      <c r="D5" s="3" t="inlineStr">
        <is>
          <t>B01,B02,B22</t>
        </is>
      </c>
    </row>
    <row r="6" ht="84" customHeight="1">
      <c r="A6" s="2" t="inlineStr">
        <is>
          <t>D4</t>
        </is>
      </c>
      <c r="B6" s="2" t="inlineStr">
        <is>
          <t>A4988 ENABLE</t>
        </is>
      </c>
      <c r="C6" s="2" t="inlineStr">
        <is>
          <t>Active low; R1 10k to +5 V; boot disabled</t>
        </is>
      </c>
      <c r="D6" s="2" t="inlineStr">
        <is>
          <t>B01,B02,B22</t>
        </is>
      </c>
    </row>
    <row r="7" ht="84" customHeight="1">
      <c r="A7" s="3" t="inlineStr">
        <is>
          <t>D7</t>
        </is>
      </c>
      <c r="B7" s="3" t="inlineStr">
        <is>
          <t>Home switch NC</t>
        </is>
      </c>
      <c r="C7" s="3" t="inlineStr">
        <is>
          <t>COM to GND; R4 4.7k to +5 V; C3 100nF to GND</t>
        </is>
      </c>
      <c r="D7" s="3" t="inlineStr">
        <is>
          <t>B07,B16,B23,B26</t>
        </is>
      </c>
    </row>
    <row r="8" ht="84" customHeight="1">
      <c r="A8" s="2" t="inlineStr">
        <is>
          <t>D9</t>
        </is>
      </c>
      <c r="B8" s="2" t="inlineStr">
        <is>
          <t>R5 100Ω -&gt; Q1 gate</t>
        </is>
      </c>
      <c r="C8" s="2" t="inlineStr">
        <is>
          <t>R6 10k gate to GND</t>
        </is>
      </c>
      <c r="D8" s="2" t="inlineStr">
        <is>
          <t>B06,B22,B24</t>
        </is>
      </c>
    </row>
    <row r="9" ht="84" customHeight="1">
      <c r="A9" s="3" t="inlineStr">
        <is>
          <t>Q1 source pin 3</t>
        </is>
      </c>
      <c r="B9" s="3" t="inlineStr">
        <is>
          <t>Common GND</t>
        </is>
      </c>
      <c r="C9" s="3" t="inlineStr">
        <is>
          <t>FQP30N06L marked-face convention; verify datasheet</t>
        </is>
      </c>
      <c r="D9" s="3" t="inlineStr">
        <is>
          <t>B06</t>
        </is>
      </c>
    </row>
    <row r="10" ht="84" customHeight="1">
      <c r="A10" s="2" t="inlineStr">
        <is>
          <t>Q1 drain pin 2/tab</t>
        </is>
      </c>
      <c r="B10" s="2" t="inlineStr">
        <is>
          <t>LED negative</t>
        </is>
      </c>
      <c r="C10" s="2" t="inlineStr">
        <is>
          <t>LED positive to switched +12 V</t>
        </is>
      </c>
      <c r="D10" s="2" t="inlineStr">
        <is>
          <t>B06,B09</t>
        </is>
      </c>
    </row>
    <row r="11" ht="84" customHeight="1">
      <c r="A11" s="3" t="inlineStr">
        <is>
          <t>Uno 5V</t>
        </is>
      </c>
      <c r="B11" s="3" t="inlineStr">
        <is>
          <t>A4988 VDD, MS1/MS2/MS3, RESET, SLEEP, pull-ups</t>
        </is>
      </c>
      <c r="C11" s="3" t="inlineStr">
        <is>
          <t>C2 100nF VDD-GND; all mode pins high = 1/16</t>
        </is>
      </c>
      <c r="D11" s="3" t="inlineStr">
        <is>
          <t>B01,B02,B22,B23,B26</t>
        </is>
      </c>
    </row>
    <row r="12" ht="84" customHeight="1">
      <c r="A12" s="2" t="inlineStr">
        <is>
          <t>Adapter positive</t>
        </is>
      </c>
      <c r="B12" s="2" t="inlineStr">
        <is>
          <t>F1 -&gt; SW1 -&gt; switched +12 V</t>
        </is>
      </c>
      <c r="C12" s="2" t="inlineStr">
        <is>
          <t>A4988 VMOT and LED positive; NOT Uno 5V</t>
        </is>
      </c>
      <c r="D12" s="2" t="inlineStr">
        <is>
          <t>B05,B27,B28,B29,B30</t>
        </is>
      </c>
    </row>
    <row r="13" ht="84" customHeight="1">
      <c r="A13" s="3" t="inlineStr">
        <is>
          <t>Adapter negative</t>
        </is>
      </c>
      <c r="B13" s="3" t="inlineStr">
        <is>
          <t>Common GND</t>
        </is>
      </c>
      <c r="C13" s="3" t="inlineStr">
        <is>
          <t>Both A4988 GND pins; Uno GND; Q1 source; switch COM; returns routed appropriately</t>
        </is>
      </c>
      <c r="D13" s="3" t="inlineStr">
        <is>
          <t>B01,B02,B05,B06,B07,B33</t>
        </is>
      </c>
    </row>
    <row r="14" ht="84" customHeight="1">
      <c r="A14" s="2" t="inlineStr">
        <is>
          <t>C1 100µF</t>
        </is>
      </c>
      <c r="B14" s="2" t="inlineStr">
        <is>
          <t>Positive VMOT; negative GND</t>
        </is>
      </c>
      <c r="C14" s="2" t="inlineStr">
        <is>
          <t>Close to motor driver; 35 V rating</t>
        </is>
      </c>
      <c r="D14" s="2" t="inlineStr">
        <is>
          <t>B25</t>
        </is>
      </c>
    </row>
    <row r="15" ht="84" customHeight="1">
      <c r="A15" s="3" t="inlineStr">
        <is>
          <t>A4988 1A / 1B</t>
        </is>
      </c>
      <c r="B15" s="3" t="inlineStr">
        <is>
          <t>One motor winding</t>
        </is>
      </c>
      <c r="C15" s="3" t="inlineStr">
        <is>
          <t>Identify pairs by meter with power OFF</t>
        </is>
      </c>
      <c r="D15" s="3" t="inlineStr">
        <is>
          <t>B02,B03</t>
        </is>
      </c>
    </row>
    <row r="16" ht="84" customHeight="1">
      <c r="A16" s="2" t="inlineStr">
        <is>
          <t>A4988 2A / 2B</t>
        </is>
      </c>
      <c r="B16" s="2" t="inlineStr">
        <is>
          <t>Other motor winding</t>
        </is>
      </c>
      <c r="C16" s="2" t="inlineStr">
        <is>
          <t>Never swap leads while powered</t>
        </is>
      </c>
      <c r="D16" s="2" t="inlineStr">
        <is>
          <t>B02,B03</t>
        </is>
      </c>
    </row>
    <row r="17" ht="84" customHeight="1">
      <c r="A17" s="3" t="inlineStr">
        <is>
          <t>20T -&gt; belt -&gt; 80T ring</t>
        </is>
      </c>
      <c r="B17" s="3" t="inlineStr">
        <is>
          <t>P2 analyzer rotates on independent support</t>
        </is>
      </c>
      <c r="C17" s="3" t="inlineStr">
        <is>
          <t>4:1; 12,800 microstep commands/rev at 200 motor steps and 1/16</t>
        </is>
      </c>
      <c r="D17" s="3" t="inlineStr">
        <is>
          <t>B03,B11,B12,B13,B14,B15</t>
        </is>
      </c>
    </row>
    <row r="18" ht="84" customHeight="1">
      <c r="A18" s="2" t="inlineStr">
        <is>
          <t>Optical order</t>
        </is>
      </c>
      <c r="B18" s="2" t="inlineStr">
        <is>
          <t>LED/diffuser -&gt; P1 -&gt; specimen -&gt; P2 -&gt; camera</t>
        </is>
      </c>
      <c r="C18" s="2" t="inlineStr">
        <is>
          <t>P1 fixed; P2 rotates; holder must not obstruct light</t>
        </is>
      </c>
      <c r="D18" s="2" t="inlineStr">
        <is>
          <t>B04,B08,B09,B10,B11,B17,B18,B19</t>
        </is>
      </c>
    </row>
    <row r="19" ht="84" customHeight="1">
      <c r="A19" s="3" t="inlineStr">
        <is>
          <t>D5 / D6</t>
        </is>
      </c>
      <c r="B19" s="3" t="inlineStr">
        <is>
          <t>Unused in core; HX711 DT / SCK if module added</t>
        </is>
      </c>
      <c r="C19" s="3" t="inlineStr">
        <is>
          <t>Optional module requires separate mechanical loading design</t>
        </is>
      </c>
      <c r="D19" s="3" t="inlineStr">
        <is>
          <t>O07,O08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3" customWidth="1" min="2" max="2"/>
    <col width="38" customWidth="1" min="3" max="3"/>
    <col width="130" customWidth="1" min="4" max="4"/>
  </cols>
  <sheetData>
    <row r="1" ht="44" customHeight="1">
      <c r="A1" s="1" t="inlineStr">
        <is>
          <t>Gate</t>
        </is>
      </c>
      <c r="B1" s="1" t="inlineStr">
        <is>
          <t>Check</t>
        </is>
      </c>
      <c r="C1" s="1" t="inlineStr">
        <is>
          <t>When</t>
        </is>
      </c>
      <c r="D1" s="1" t="inlineStr">
        <is>
          <t>Acceptance requirement</t>
        </is>
      </c>
    </row>
    <row r="2" ht="84" customHeight="1">
      <c r="A2" s="2" t="inlineStr">
        <is>
          <t>G01</t>
        </is>
      </c>
      <c r="B2" s="2" t="inlineStr">
        <is>
          <t>Camera model / controls / optics</t>
        </is>
      </c>
      <c r="C2" s="2" t="inlineStr">
        <is>
          <t>Before camera purchase</t>
        </is>
      </c>
      <c r="D2" s="2" t="inlineStr">
        <is>
          <t>Verify actual OS can lock exposure/gain/WB, focus covers specimen working distance and full viewing area passes through proposed analyzer aperture. C270 is only a candidate.</t>
        </is>
      </c>
    </row>
    <row r="3" ht="84" customHeight="1">
      <c r="A3" s="3" t="inlineStr">
        <is>
          <t>G02</t>
        </is>
      </c>
      <c r="B3" s="3" t="inlineStr">
        <is>
          <t>Ring and support drawing</t>
        </is>
      </c>
      <c r="C3" s="3" t="inlineStr">
        <is>
          <t>Before B11/B14 fabrication</t>
        </is>
      </c>
      <c r="D3" s="3" t="inlineStr">
        <is>
          <t>Specify aperture, tooth profile, bearing/roller geometry, axial restraint, film retention, mount and switch actuator. Check that no bearing blocks the optical path.</t>
        </is>
      </c>
    </row>
    <row r="4" ht="84" customHeight="1">
      <c r="A4" s="2" t="inlineStr">
        <is>
          <t>G03</t>
        </is>
      </c>
      <c r="B4" s="2" t="inlineStr">
        <is>
          <t>Belt and base dimensions</t>
        </is>
      </c>
      <c r="C4" s="2" t="inlineStr">
        <is>
          <t>Before B12/B20 order</t>
        </is>
      </c>
      <c r="D4" s="2" t="inlineStr">
        <is>
          <t>Choose centre distance and tension adjustment, then belt length; allow working distance. 300 x 200 mm is not a validated base size.</t>
        </is>
      </c>
    </row>
    <row r="5" ht="84" customHeight="1">
      <c r="A5" s="3" t="inlineStr">
        <is>
          <t>G04</t>
        </is>
      </c>
      <c r="B5" s="3" t="inlineStr">
        <is>
          <t>Polarizer cut layout</t>
        </is>
      </c>
      <c r="C5" s="3" t="inlineStr">
        <is>
          <t>Before B08 order/cut</t>
        </is>
      </c>
      <c r="D5" s="3" t="inlineStr">
        <is>
          <t>Two usable filters must fit selected material sheet including clamping margins. One retail sheet is enough only if both footprints fit.</t>
        </is>
      </c>
    </row>
    <row r="6" ht="84" customHeight="1">
      <c r="A6" s="2" t="inlineStr">
        <is>
          <t>G05</t>
        </is>
      </c>
      <c r="B6" s="2" t="inlineStr">
        <is>
          <t>Power and bundle compatibility</t>
        </is>
      </c>
      <c r="C6" s="2" t="inlineStr">
        <is>
          <t>Before electrical order</t>
        </is>
      </c>
      <c r="D6" s="2" t="inlineStr">
        <is>
          <t>Confirm adapter/socket polarity, LED internal current limiting, driver Rs, carrier headers, heatsink and USB data cable inclusion.</t>
        </is>
      </c>
    </row>
    <row r="7" ht="84" customHeight="1">
      <c r="A7" s="3" t="inlineStr">
        <is>
          <t>G06</t>
        </is>
      </c>
      <c r="B7" s="3" t="inlineStr">
        <is>
          <t>Electrical bench check</t>
        </is>
      </c>
      <c r="C7" s="3" t="inlineStr">
        <is>
          <t>Before motor/LED operation</t>
        </is>
      </c>
      <c r="D7" s="3" t="inlineStr">
        <is>
          <t>Inspect polarity/continuity; set current limit from actual Rs; check no 12 V to logic; test supply and switching, then temperature and motor torque. Proposed circuit is not bench validated.</t>
        </is>
      </c>
    </row>
    <row r="8" ht="84" customHeight="1">
      <c r="A8" s="2" t="inlineStr">
        <is>
          <t>G07</t>
        </is>
      </c>
      <c r="B8" s="2" t="inlineStr">
        <is>
          <t>Homing / capture firmware</t>
        </is>
      </c>
      <c r="C8" s="2" t="inlineStr">
        <is>
          <t>Before automated acquisition</t>
        </is>
      </c>
      <c r="D8" s="2" t="inlineStr">
        <is>
          <t>Implement boot disabled, timeout, debounce, switch-release validation, optical zero, move-complete acknowledgement, settling and fresh-frame capture. Wiring alone does not provide this software.</t>
        </is>
      </c>
    </row>
    <row r="9" ht="84" customHeight="1">
      <c r="A9" s="3" t="inlineStr">
        <is>
          <t>G08</t>
        </is>
      </c>
      <c r="B9" s="3" t="inlineStr">
        <is>
          <t>Optical repeatability / calibration</t>
        </is>
      </c>
      <c r="C9" s="3" t="inlineStr">
        <is>
          <t>Before measurement claims</t>
        </is>
      </c>
      <c r="D9" s="3" t="inlineStr">
        <is>
          <t>Empty-path sweep, dark/flat checks, fixed camera controls, remount repeats and known specimen thickness. Qualitative images first; calibrated MPa and AI are not guaranteed outputs.</t>
        </is>
      </c>
    </row>
    <row r="10" ht="84" customHeight="1">
      <c r="A10" s="2" t="inlineStr">
        <is>
          <t>G09</t>
        </is>
      </c>
      <c r="B10" s="2" t="inlineStr">
        <is>
          <t>Loaded tests</t>
        </is>
      </c>
      <c r="C10" s="2" t="inlineStr">
        <is>
          <t>Before applying controlled force</t>
        </is>
      </c>
      <c r="D10" s="2" t="inlineStr">
        <is>
          <t>Use rated fixture/grips and appropriate force measurement. Core specimen holder and stepper do not apply or measure tensile load.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7" customWidth="1" min="2" max="2"/>
    <col width="2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44" customHeight="1">
      <c r="A1" s="1" t="inlineStr">
        <is>
          <t>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ElectronicsComp</t>
        </is>
      </c>
      <c r="E1" s="1" t="inlineStr">
        <is>
          <t>Robocraze</t>
        </is>
      </c>
      <c r="F1" s="1" t="inlineStr">
        <is>
          <t>Quartz Components</t>
        </is>
      </c>
      <c r="G1" s="1" t="inlineStr">
        <is>
          <t>FlyRobo</t>
        </is>
      </c>
      <c r="H1" s="1" t="inlineStr">
        <is>
          <t>Evelta</t>
        </is>
      </c>
    </row>
    <row r="2" ht="84" customHeight="1">
      <c r="A2" s="2" t="inlineStr">
        <is>
          <t>B01</t>
        </is>
      </c>
      <c r="B2" s="2" t="inlineStr">
        <is>
          <t>Arduino Uno R3 ATmega328P</t>
        </is>
      </c>
      <c r="C2" s="2" t="inlineStr">
        <is>
          <t>SPEC READY</t>
        </is>
      </c>
      <c r="D2" s="5" t="inlineStr">
        <is>
          <t>Search — not verified</t>
        </is>
      </c>
      <c r="E2" s="5" t="inlineStr">
        <is>
          <t>Search — not verified</t>
        </is>
      </c>
      <c r="F2" s="5" t="inlineStr">
        <is>
          <t>Search — not verified</t>
        </is>
      </c>
      <c r="G2" s="5" t="inlineStr">
        <is>
          <t>Search — not verified</t>
        </is>
      </c>
      <c r="H2" s="5" t="inlineStr">
        <is>
          <t>Search — not verified</t>
        </is>
      </c>
    </row>
    <row r="3" ht="84" customHeight="1">
      <c r="A3" s="3" t="inlineStr">
        <is>
          <t>B02</t>
        </is>
      </c>
      <c r="B3" s="3" t="inlineStr">
        <is>
          <t>A4988 carrier with heatsink</t>
        </is>
      </c>
      <c r="C3" s="3" t="inlineStr">
        <is>
          <t>SPEC READY</t>
        </is>
      </c>
      <c r="D3" s="6" t="inlineStr">
        <is>
          <t>Search — not verified</t>
        </is>
      </c>
      <c r="E3" s="6" t="inlineStr">
        <is>
          <t>Search — not verified</t>
        </is>
      </c>
      <c r="F3" s="6" t="inlineStr">
        <is>
          <t>Search — not verified</t>
        </is>
      </c>
      <c r="G3" s="6" t="inlineStr">
        <is>
          <t>Search — not verified</t>
        </is>
      </c>
      <c r="H3" s="6" t="inlineStr">
        <is>
          <t>Search — not verified</t>
        </is>
      </c>
    </row>
    <row r="4" ht="84" customHeight="1">
      <c r="A4" s="2" t="inlineStr">
        <is>
          <t>B03</t>
        </is>
      </c>
      <c r="B4" s="2" t="inlineStr">
        <is>
          <t>NEMA17 4-wire bipolar stepper; 17HS4401 candidate</t>
        </is>
      </c>
      <c r="C4" s="2" t="inlineStr">
        <is>
          <t>VERIFY DATASHEET</t>
        </is>
      </c>
      <c r="D4" s="5" t="inlineStr">
        <is>
          <t>Search — not verified</t>
        </is>
      </c>
      <c r="E4" s="5" t="inlineStr">
        <is>
          <t>Search — not verified</t>
        </is>
      </c>
      <c r="F4" s="5" t="inlineStr">
        <is>
          <t>Search — not verified</t>
        </is>
      </c>
      <c r="G4" s="5" t="inlineStr">
        <is>
          <t>Search — not verified</t>
        </is>
      </c>
      <c r="H4" s="5" t="inlineStr">
        <is>
          <t>Search — not verified</t>
        </is>
      </c>
    </row>
    <row r="5" ht="84" customHeight="1">
      <c r="A5" s="3" t="inlineStr">
        <is>
          <t>B04</t>
        </is>
      </c>
      <c r="B5" s="3" t="inlineStr">
        <is>
          <t>UVC USB camera; Logitech C270 candidate only</t>
        </is>
      </c>
      <c r="C5" s="4" t="inlineStr">
        <is>
          <t>HOLD: COMPATIBILITY</t>
        </is>
      </c>
      <c r="D5" s="6" t="inlineStr">
        <is>
          <t>Search — not verified</t>
        </is>
      </c>
      <c r="E5" s="6" t="inlineStr">
        <is>
          <t>Search — not verified</t>
        </is>
      </c>
      <c r="F5" s="6" t="inlineStr">
        <is>
          <t>Search — not verified</t>
        </is>
      </c>
      <c r="G5" s="6" t="inlineStr">
        <is>
          <t>Search — not verified</t>
        </is>
      </c>
      <c r="H5" s="6" t="inlineStr">
        <is>
          <t>Search — not verified</t>
        </is>
      </c>
    </row>
    <row r="6" ht="84" customHeight="1">
      <c r="A6" s="2" t="inlineStr">
        <is>
          <t>B05</t>
        </is>
      </c>
      <c r="B6" s="2" t="inlineStr">
        <is>
          <t>Isolated regulated 12 V DC / 3 A enclosed adapter</t>
        </is>
      </c>
      <c r="C6" s="2" t="inlineStr">
        <is>
          <t>SPEC READY</t>
        </is>
      </c>
      <c r="D6" s="5" t="inlineStr">
        <is>
          <t>Search — not verified</t>
        </is>
      </c>
      <c r="E6" s="5" t="inlineStr">
        <is>
          <t>Search — not verified</t>
        </is>
      </c>
      <c r="F6" s="5" t="inlineStr">
        <is>
          <t>Search — not verified</t>
        </is>
      </c>
      <c r="G6" s="5" t="inlineStr">
        <is>
          <t>Search — not verified</t>
        </is>
      </c>
      <c r="H6" s="5" t="inlineStr">
        <is>
          <t>Search — not verified</t>
        </is>
      </c>
    </row>
    <row r="7" ht="84" customHeight="1">
      <c r="A7" s="3" t="inlineStr">
        <is>
          <t>B06</t>
        </is>
      </c>
      <c r="B7" s="3" t="inlineStr">
        <is>
          <t>FQP30N06L logic-level N-channel MOSFET</t>
        </is>
      </c>
      <c r="C7" s="3" t="inlineStr">
        <is>
          <t>SPEC READY</t>
        </is>
      </c>
      <c r="D7" s="6" t="inlineStr">
        <is>
          <t>Search — not verified</t>
        </is>
      </c>
      <c r="E7" s="6" t="inlineStr">
        <is>
          <t>Search — not verified</t>
        </is>
      </c>
      <c r="F7" s="6" t="inlineStr">
        <is>
          <t>Search — not verified</t>
        </is>
      </c>
      <c r="G7" s="6" t="inlineStr">
        <is>
          <t>Search — not verified</t>
        </is>
      </c>
      <c r="H7" s="6" t="inlineStr">
        <is>
          <t>Search — not verified</t>
        </is>
      </c>
    </row>
    <row r="8" ht="84" customHeight="1">
      <c r="A8" s="2" t="inlineStr">
        <is>
          <t>B07</t>
        </is>
      </c>
      <c r="B8" s="2" t="inlineStr">
        <is>
          <t>SPDT lever microswitch; Omron SS-5GL candidate</t>
        </is>
      </c>
      <c r="C8" s="2" t="inlineStr">
        <is>
          <t>VERIFY MOUNT</t>
        </is>
      </c>
      <c r="D8" s="5" t="inlineStr">
        <is>
          <t>Search — not verified</t>
        </is>
      </c>
      <c r="E8" s="5" t="inlineStr">
        <is>
          <t>Search — not verified</t>
        </is>
      </c>
      <c r="F8" s="5" t="inlineStr">
        <is>
          <t>Search — not verified</t>
        </is>
      </c>
      <c r="G8" s="5" t="inlineStr">
        <is>
          <t>Search — not verified</t>
        </is>
      </c>
      <c r="H8" s="5" t="inlineStr">
        <is>
          <t>Search — not verified</t>
        </is>
      </c>
    </row>
    <row r="9" ht="84" customHeight="1">
      <c r="A9" s="3" t="inlineStr">
        <is>
          <t>B08</t>
        </is>
      </c>
      <c r="B9" s="3" t="inlineStr">
        <is>
          <t>Visible linear polarizing film (P1 and P2)</t>
        </is>
      </c>
      <c r="C9" s="4" t="inlineStr">
        <is>
          <t>HOLD: CUT LAYOUT</t>
        </is>
      </c>
      <c r="D9" s="6" t="inlineStr">
        <is>
          <t>Search — not verified</t>
        </is>
      </c>
      <c r="E9" s="6" t="inlineStr">
        <is>
          <t>Search — not verified</t>
        </is>
      </c>
      <c r="F9" s="6" t="inlineStr">
        <is>
          <t>Search — not verified</t>
        </is>
      </c>
      <c r="G9" s="6" t="inlineStr">
        <is>
          <t>Search — not verified</t>
        </is>
      </c>
      <c r="H9" s="6" t="inlineStr">
        <is>
          <t>Search — not verified</t>
        </is>
      </c>
    </row>
    <row r="10" ht="84" customHeight="1">
      <c r="A10" s="2" t="inlineStr">
        <is>
          <t>B09</t>
        </is>
      </c>
      <c r="B10" s="2" t="inlineStr">
        <is>
          <t>12 V diffused white LED backlight panel</t>
        </is>
      </c>
      <c r="C10" s="2" t="inlineStr">
        <is>
          <t>VERIFY LISTING</t>
        </is>
      </c>
      <c r="D10" s="5" t="inlineStr">
        <is>
          <t>Search — not verified</t>
        </is>
      </c>
      <c r="E10" s="5" t="inlineStr">
        <is>
          <t>Search — not verified</t>
        </is>
      </c>
      <c r="F10" s="5" t="inlineStr">
        <is>
          <t>Search — not verified</t>
        </is>
      </c>
      <c r="G10" s="5" t="inlineStr">
        <is>
          <t>Search — not verified</t>
        </is>
      </c>
      <c r="H10" s="5" t="inlineStr">
        <is>
          <t>Search — not verified</t>
        </is>
      </c>
    </row>
    <row r="11" ht="84" customHeight="1">
      <c r="A11" s="3" t="inlineStr">
        <is>
          <t>B10</t>
        </is>
      </c>
      <c r="B11" s="3" t="inlineStr">
        <is>
          <t>Fixed P1 polarizer frame</t>
        </is>
      </c>
      <c r="C11" s="3" t="inlineStr">
        <is>
          <t>FABRICATE</t>
        </is>
      </c>
      <c r="D11" s="6" t="inlineStr">
        <is>
          <t>Search — not verified</t>
        </is>
      </c>
      <c r="E11" s="6" t="inlineStr">
        <is>
          <t>Search — not verified</t>
        </is>
      </c>
      <c r="F11" s="6" t="inlineStr">
        <is>
          <t>Search — not verified</t>
        </is>
      </c>
      <c r="G11" s="6" t="inlineStr">
        <is>
          <t>Search — not verified</t>
        </is>
      </c>
      <c r="H11" s="6" t="inlineStr">
        <is>
          <t>Search — not verified</t>
        </is>
      </c>
    </row>
    <row r="12" ht="84" customHeight="1">
      <c r="A12" s="2" t="inlineStr">
        <is>
          <t>B11</t>
        </is>
      </c>
      <c r="B12" s="2" t="inlineStr">
        <is>
          <t>Custom 80T GT2 annular analyzer ring AND P2 holder</t>
        </is>
      </c>
      <c r="C12" s="4" t="inlineStr">
        <is>
          <t>HOLD: DRAWING</t>
        </is>
      </c>
      <c r="D12" s="5" t="inlineStr">
        <is>
          <t>Search — not verified</t>
        </is>
      </c>
      <c r="E12" s="5" t="inlineStr">
        <is>
          <t>Search — not verified</t>
        </is>
      </c>
      <c r="F12" s="5" t="inlineStr">
        <is>
          <t>Search — not verified</t>
        </is>
      </c>
      <c r="G12" s="5" t="inlineStr">
        <is>
          <t>Search — not verified</t>
        </is>
      </c>
      <c r="H12" s="5" t="inlineStr">
        <is>
          <t>Search — not verified</t>
        </is>
      </c>
    </row>
    <row r="13" ht="84" customHeight="1">
      <c r="A13" s="3" t="inlineStr">
        <is>
          <t>B12</t>
        </is>
      </c>
      <c r="B13" s="3" t="inlineStr">
        <is>
          <t>GT2 closed-loop timing belt</t>
        </is>
      </c>
      <c r="C13" s="4" t="inlineStr">
        <is>
          <t>HOLD: LENGTH</t>
        </is>
      </c>
      <c r="D13" s="6" t="inlineStr">
        <is>
          <t>Search — not verified</t>
        </is>
      </c>
      <c r="E13" s="6" t="inlineStr">
        <is>
          <t>Search — not verified</t>
        </is>
      </c>
      <c r="F13" s="6" t="inlineStr">
        <is>
          <t>Search — not verified</t>
        </is>
      </c>
      <c r="G13" s="6" t="inlineStr">
        <is>
          <t>Search — not verified</t>
        </is>
      </c>
      <c r="H13" s="6" t="inlineStr">
        <is>
          <t>Search — not verified</t>
        </is>
      </c>
    </row>
    <row r="14" ht="84" customHeight="1">
      <c r="A14" s="2" t="inlineStr">
        <is>
          <t>B13</t>
        </is>
      </c>
      <c r="B14" s="2" t="inlineStr">
        <is>
          <t>GT2 20T motor pulley</t>
        </is>
      </c>
      <c r="C14" s="2" t="inlineStr">
        <is>
          <t>VERIFY SHAFT</t>
        </is>
      </c>
      <c r="D14" s="5" t="inlineStr">
        <is>
          <t>Search — not verified</t>
        </is>
      </c>
      <c r="E14" s="5" t="inlineStr">
        <is>
          <t>Search — not verified</t>
        </is>
      </c>
      <c r="F14" s="5" t="inlineStr">
        <is>
          <t>Search — not verified</t>
        </is>
      </c>
      <c r="G14" s="5" t="inlineStr">
        <is>
          <t>Search — not verified</t>
        </is>
      </c>
      <c r="H14" s="5" t="inlineStr">
        <is>
          <t>Search — not verified</t>
        </is>
      </c>
    </row>
    <row r="15" ht="84" customHeight="1">
      <c r="A15" s="3" t="inlineStr">
        <is>
          <t>B14</t>
        </is>
      </c>
      <c r="B15" s="3" t="inlineStr">
        <is>
          <t>Bearing / roller support for analyzer ring</t>
        </is>
      </c>
      <c r="C15" s="4" t="inlineStr">
        <is>
          <t>HOLD: DRAWING</t>
        </is>
      </c>
      <c r="D15" s="6" t="inlineStr">
        <is>
          <t>Search — not verified</t>
        </is>
      </c>
      <c r="E15" s="6" t="inlineStr">
        <is>
          <t>Search — not verified</t>
        </is>
      </c>
      <c r="F15" s="6" t="inlineStr">
        <is>
          <t>Search — not verified</t>
        </is>
      </c>
      <c r="G15" s="6" t="inlineStr">
        <is>
          <t>Search — not verified</t>
        </is>
      </c>
      <c r="H15" s="6" t="inlineStr">
        <is>
          <t>Search — not verified</t>
        </is>
      </c>
    </row>
    <row r="16" ht="84" customHeight="1">
      <c r="A16" s="2" t="inlineStr">
        <is>
          <t>B15</t>
        </is>
      </c>
      <c r="B16" s="2" t="inlineStr">
        <is>
          <t>NEMA17 adjustable mounting bracket</t>
        </is>
      </c>
      <c r="C16" s="2" t="inlineStr">
        <is>
          <t>VERIFY LAYOUT</t>
        </is>
      </c>
      <c r="D16" s="5" t="inlineStr">
        <is>
          <t>Search — not verified</t>
        </is>
      </c>
      <c r="E16" s="5" t="inlineStr">
        <is>
          <t>Search — not verified</t>
        </is>
      </c>
      <c r="F16" s="5" t="inlineStr">
        <is>
          <t>Search — not verified</t>
        </is>
      </c>
      <c r="G16" s="5" t="inlineStr">
        <is>
          <t>Search — not verified</t>
        </is>
      </c>
      <c r="H16" s="5" t="inlineStr">
        <is>
          <t>Search — not verified</t>
        </is>
      </c>
    </row>
    <row r="17" ht="84" customHeight="1">
      <c r="A17" s="3" t="inlineStr">
        <is>
          <t>B16</t>
        </is>
      </c>
      <c r="B17" s="3" t="inlineStr">
        <is>
          <t>Home-switch bracket and ring actuator/cam</t>
        </is>
      </c>
      <c r="C17" s="3" t="inlineStr">
        <is>
          <t>FABRICATE</t>
        </is>
      </c>
      <c r="D17" s="6" t="inlineStr">
        <is>
          <t>Search — not verified</t>
        </is>
      </c>
      <c r="E17" s="6" t="inlineStr">
        <is>
          <t>Search — not verified</t>
        </is>
      </c>
      <c r="F17" s="6" t="inlineStr">
        <is>
          <t>Search — not verified</t>
        </is>
      </c>
      <c r="G17" s="6" t="inlineStr">
        <is>
          <t>Search — not verified</t>
        </is>
      </c>
      <c r="H17" s="6" t="inlineStr">
        <is>
          <t>Search — not verified</t>
        </is>
      </c>
    </row>
    <row r="18" ht="84" customHeight="1">
      <c r="A18" s="2" t="inlineStr">
        <is>
          <t>B17</t>
        </is>
      </c>
      <c r="B18" s="2" t="inlineStr">
        <is>
          <t>Rigid adjustable camera mount</t>
        </is>
      </c>
      <c r="C18" s="2" t="inlineStr">
        <is>
          <t>VERIFY CAMERA</t>
        </is>
      </c>
      <c r="D18" s="5" t="inlineStr">
        <is>
          <t>Search — not verified</t>
        </is>
      </c>
      <c r="E18" s="5" t="inlineStr">
        <is>
          <t>Search — not verified</t>
        </is>
      </c>
      <c r="F18" s="5" t="inlineStr">
        <is>
          <t>Search — not verified</t>
        </is>
      </c>
      <c r="G18" s="5" t="inlineStr">
        <is>
          <t>Search — not verified</t>
        </is>
      </c>
      <c r="H18" s="5" t="inlineStr">
        <is>
          <t>Search — not verified</t>
        </is>
      </c>
    </row>
    <row r="19" ht="84" customHeight="1">
      <c r="A19" s="3" t="inlineStr">
        <is>
          <t>B18</t>
        </is>
      </c>
      <c r="B19" s="3" t="inlineStr">
        <is>
          <t>Specimen holder with two gentle edge supports</t>
        </is>
      </c>
      <c r="C19" s="3" t="inlineStr">
        <is>
          <t>FABRICATE</t>
        </is>
      </c>
      <c r="D19" s="6" t="inlineStr">
        <is>
          <t>Search — not verified</t>
        </is>
      </c>
      <c r="E19" s="6" t="inlineStr">
        <is>
          <t>Search — not verified</t>
        </is>
      </c>
      <c r="F19" s="6" t="inlineStr">
        <is>
          <t>Search — not verified</t>
        </is>
      </c>
      <c r="G19" s="6" t="inlineStr">
        <is>
          <t>Search — not verified</t>
        </is>
      </c>
      <c r="H19" s="6" t="inlineStr">
        <is>
          <t>Search — not verified</t>
        </is>
      </c>
    </row>
    <row r="20" ht="84" customHeight="1">
      <c r="A20" s="2" t="inlineStr">
        <is>
          <t>B19</t>
        </is>
      </c>
      <c r="B20" s="2" t="inlineStr">
        <is>
          <t>Backlight/diffuser support</t>
        </is>
      </c>
      <c r="C20" s="2" t="inlineStr">
        <is>
          <t>FABRICATE / BUNDLE</t>
        </is>
      </c>
      <c r="D20" s="5" t="inlineStr">
        <is>
          <t>Search — not verified</t>
        </is>
      </c>
      <c r="E20" s="5" t="inlineStr">
        <is>
          <t>Search — not verified</t>
        </is>
      </c>
      <c r="F20" s="5" t="inlineStr">
        <is>
          <t>Search — not verified</t>
        </is>
      </c>
      <c r="G20" s="5" t="inlineStr">
        <is>
          <t>Search — not verified</t>
        </is>
      </c>
      <c r="H20" s="5" t="inlineStr">
        <is>
          <t>Search — not verified</t>
        </is>
      </c>
    </row>
    <row r="21" ht="84" customHeight="1">
      <c r="A21" s="3" t="inlineStr">
        <is>
          <t>B20</t>
        </is>
      </c>
      <c r="B21" s="3" t="inlineStr">
        <is>
          <t>Rigid optical base / rail</t>
        </is>
      </c>
      <c r="C21" s="4" t="inlineStr">
        <is>
          <t>HOLD: LAYOUT</t>
        </is>
      </c>
      <c r="D21" s="6" t="inlineStr">
        <is>
          <t>Search — not verified</t>
        </is>
      </c>
      <c r="E21" s="6" t="inlineStr">
        <is>
          <t>Search — not verified</t>
        </is>
      </c>
      <c r="F21" s="6" t="inlineStr">
        <is>
          <t>Search — not verified</t>
        </is>
      </c>
      <c r="G21" s="6" t="inlineStr">
        <is>
          <t>Search — not verified</t>
        </is>
      </c>
      <c r="H21" s="6" t="inlineStr">
        <is>
          <t>Search — not verified</t>
        </is>
      </c>
    </row>
    <row r="22" ht="84" customHeight="1">
      <c r="A22" s="2" t="inlineStr">
        <is>
          <t>B21</t>
        </is>
      </c>
      <c r="B22" s="2" t="inlineStr">
        <is>
          <t>M3/M4 fasteners, washers, standoffs</t>
        </is>
      </c>
      <c r="C22" s="2" t="inlineStr">
        <is>
          <t>VERIFY LAYOUT</t>
        </is>
      </c>
      <c r="D22" s="5" t="inlineStr">
        <is>
          <t>Search — not verified</t>
        </is>
      </c>
      <c r="E22" s="5" t="inlineStr">
        <is>
          <t>Search — not verified</t>
        </is>
      </c>
      <c r="F22" s="5" t="inlineStr">
        <is>
          <t>Search — not verified</t>
        </is>
      </c>
      <c r="G22" s="5" t="inlineStr">
        <is>
          <t>Search — not verified</t>
        </is>
      </c>
      <c r="H22" s="5" t="inlineStr">
        <is>
          <t>Search — not verified</t>
        </is>
      </c>
    </row>
    <row r="23" ht="84" customHeight="1">
      <c r="A23" s="3" t="inlineStr">
        <is>
          <t>B22</t>
        </is>
      </c>
      <c r="B23" s="3" t="inlineStr">
        <is>
          <t>10 kΩ 1/4 W 1% metal-film resistor</t>
        </is>
      </c>
      <c r="C23" s="3" t="inlineStr">
        <is>
          <t>SPEC READY</t>
        </is>
      </c>
      <c r="D23" s="6" t="inlineStr">
        <is>
          <t>Search — not verified</t>
        </is>
      </c>
      <c r="E23" s="6" t="inlineStr">
        <is>
          <t>Search — not verified</t>
        </is>
      </c>
      <c r="F23" s="6" t="inlineStr">
        <is>
          <t>Search — not verified</t>
        </is>
      </c>
      <c r="G23" s="6" t="inlineStr">
        <is>
          <t>Search — not verified</t>
        </is>
      </c>
      <c r="H23" s="6" t="inlineStr">
        <is>
          <t>Search — not verified</t>
        </is>
      </c>
    </row>
    <row r="24" ht="84" customHeight="1">
      <c r="A24" s="2" t="inlineStr">
        <is>
          <t>B23</t>
        </is>
      </c>
      <c r="B24" s="2" t="inlineStr">
        <is>
          <t>4.7 kΩ 1/4 W 1% metal-film resistor</t>
        </is>
      </c>
      <c r="C24" s="2" t="inlineStr">
        <is>
          <t>SPEC READY</t>
        </is>
      </c>
      <c r="D24" s="5" t="inlineStr">
        <is>
          <t>Search — not verified</t>
        </is>
      </c>
      <c r="E24" s="5" t="inlineStr">
        <is>
          <t>Search — not verified</t>
        </is>
      </c>
      <c r="F24" s="5" t="inlineStr">
        <is>
          <t>Search — not verified</t>
        </is>
      </c>
      <c r="G24" s="5" t="inlineStr">
        <is>
          <t>Search — not verified</t>
        </is>
      </c>
      <c r="H24" s="5" t="inlineStr">
        <is>
          <t>Search — not verified</t>
        </is>
      </c>
    </row>
    <row r="25" ht="84" customHeight="1">
      <c r="A25" s="3" t="inlineStr">
        <is>
          <t>B24</t>
        </is>
      </c>
      <c r="B25" s="3" t="inlineStr">
        <is>
          <t>100 Ω 1/4 W 1% metal-film resistor</t>
        </is>
      </c>
      <c r="C25" s="3" t="inlineStr">
        <is>
          <t>SPEC READY</t>
        </is>
      </c>
      <c r="D25" s="6" t="inlineStr">
        <is>
          <t>Search — not verified</t>
        </is>
      </c>
      <c r="E25" s="6" t="inlineStr">
        <is>
          <t>Search — not verified</t>
        </is>
      </c>
      <c r="F25" s="6" t="inlineStr">
        <is>
          <t>Search — not verified</t>
        </is>
      </c>
      <c r="G25" s="6" t="inlineStr">
        <is>
          <t>Search — not verified</t>
        </is>
      </c>
      <c r="H25" s="6" t="inlineStr">
        <is>
          <t>Search — not verified</t>
        </is>
      </c>
    </row>
    <row r="26" ht="84" customHeight="1">
      <c r="A26" s="2" t="inlineStr">
        <is>
          <t>B25</t>
        </is>
      </c>
      <c r="B26" s="2" t="inlineStr">
        <is>
          <t>100 µF 35 V radial electrolytic capacitor</t>
        </is>
      </c>
      <c r="C26" s="2" t="inlineStr">
        <is>
          <t>SPEC READY</t>
        </is>
      </c>
      <c r="D26" s="5" t="inlineStr">
        <is>
          <t>Search — not verified</t>
        </is>
      </c>
      <c r="E26" s="5" t="inlineStr">
        <is>
          <t>Search — not verified</t>
        </is>
      </c>
      <c r="F26" s="5" t="inlineStr">
        <is>
          <t>Search — not verified</t>
        </is>
      </c>
      <c r="G26" s="5" t="inlineStr">
        <is>
          <t>Search — not verified</t>
        </is>
      </c>
      <c r="H26" s="5" t="inlineStr">
        <is>
          <t>Search — not verified</t>
        </is>
      </c>
    </row>
    <row r="27" ht="84" customHeight="1">
      <c r="A27" s="3" t="inlineStr">
        <is>
          <t>B26</t>
        </is>
      </c>
      <c r="B27" s="3" t="inlineStr">
        <is>
          <t>100 nF / 0.1 µF 50 V X7R ceramic capacitor</t>
        </is>
      </c>
      <c r="C27" s="3" t="inlineStr">
        <is>
          <t>SPEC READY</t>
        </is>
      </c>
      <c r="D27" s="6" t="inlineStr">
        <is>
          <t>Search — not verified</t>
        </is>
      </c>
      <c r="E27" s="6" t="inlineStr">
        <is>
          <t>Search — not verified</t>
        </is>
      </c>
      <c r="F27" s="6" t="inlineStr">
        <is>
          <t>Search — not verified</t>
        </is>
      </c>
      <c r="G27" s="6" t="inlineStr">
        <is>
          <t>Search — not verified</t>
        </is>
      </c>
      <c r="H27" s="6" t="inlineStr">
        <is>
          <t>Search — not verified</t>
        </is>
      </c>
    </row>
    <row r="28" ht="84" customHeight="1">
      <c r="A28" s="2" t="inlineStr">
        <is>
          <t>B27</t>
        </is>
      </c>
      <c r="B28" s="2" t="inlineStr">
        <is>
          <t>SPST DC power switch</t>
        </is>
      </c>
      <c r="C28" s="2" t="inlineStr">
        <is>
          <t>SPEC READY</t>
        </is>
      </c>
      <c r="D28" s="5" t="inlineStr">
        <is>
          <t>Search — not verified</t>
        </is>
      </c>
      <c r="E28" s="5" t="inlineStr">
        <is>
          <t>Search — not verified</t>
        </is>
      </c>
      <c r="F28" s="5" t="inlineStr">
        <is>
          <t>Search — not verified</t>
        </is>
      </c>
      <c r="G28" s="5" t="inlineStr">
        <is>
          <t>Search — not verified</t>
        </is>
      </c>
      <c r="H28" s="5" t="inlineStr">
        <is>
          <t>Search — not verified</t>
        </is>
      </c>
    </row>
    <row r="29" ht="84" customHeight="1">
      <c r="A29" s="3" t="inlineStr">
        <is>
          <t>B28</t>
        </is>
      </c>
      <c r="B29" s="3" t="inlineStr">
        <is>
          <t>Inline fuse holder</t>
        </is>
      </c>
      <c r="C29" s="3" t="inlineStr">
        <is>
          <t>VERIFY FUSE</t>
        </is>
      </c>
      <c r="D29" s="6" t="inlineStr">
        <is>
          <t>Search — not verified</t>
        </is>
      </c>
      <c r="E29" s="6" t="inlineStr">
        <is>
          <t>Search — not verified</t>
        </is>
      </c>
      <c r="F29" s="6" t="inlineStr">
        <is>
          <t>Search — not verified</t>
        </is>
      </c>
      <c r="G29" s="6" t="inlineStr">
        <is>
          <t>Search — not verified</t>
        </is>
      </c>
      <c r="H29" s="6" t="inlineStr">
        <is>
          <t>Search — not verified</t>
        </is>
      </c>
    </row>
    <row r="30" ht="84" customHeight="1">
      <c r="A30" s="2" t="inlineStr">
        <is>
          <t>B29</t>
        </is>
      </c>
      <c r="B30" s="2" t="inlineStr">
        <is>
          <t>2 A fuse</t>
        </is>
      </c>
      <c r="C30" s="2" t="inlineStr">
        <is>
          <t>VERIFY INRUSH</t>
        </is>
      </c>
      <c r="D30" s="5" t="inlineStr">
        <is>
          <t>Search — not verified</t>
        </is>
      </c>
      <c r="E30" s="5" t="inlineStr">
        <is>
          <t>Search — not verified</t>
        </is>
      </c>
      <c r="F30" s="5" t="inlineStr">
        <is>
          <t>Search — not verified</t>
        </is>
      </c>
      <c r="G30" s="5" t="inlineStr">
        <is>
          <t>Search — not verified</t>
        </is>
      </c>
      <c r="H30" s="5" t="inlineStr">
        <is>
          <t>Search — not verified</t>
        </is>
      </c>
    </row>
    <row r="31" ht="84" customHeight="1">
      <c r="A31" s="3" t="inlineStr">
        <is>
          <t>B30</t>
        </is>
      </c>
      <c r="B31" s="3" t="inlineStr">
        <is>
          <t>Female DC barrel jack to screw terminal</t>
        </is>
      </c>
      <c r="C31" s="3" t="inlineStr">
        <is>
          <t>CONDITIONAL PURCHASE</t>
        </is>
      </c>
      <c r="D31" s="6" t="inlineStr">
        <is>
          <t>Search — not verified</t>
        </is>
      </c>
      <c r="E31" s="6" t="inlineStr">
        <is>
          <t>Search — not verified</t>
        </is>
      </c>
      <c r="F31" s="6" t="inlineStr">
        <is>
          <t>Search — not verified</t>
        </is>
      </c>
      <c r="G31" s="6" t="inlineStr">
        <is>
          <t>Search — not verified</t>
        </is>
      </c>
      <c r="H31" s="6" t="inlineStr">
        <is>
          <t>Search — not verified</t>
        </is>
      </c>
    </row>
    <row r="32" ht="84" customHeight="1">
      <c r="A32" s="2" t="inlineStr">
        <is>
          <t>B31</t>
        </is>
      </c>
      <c r="B32" s="2" t="inlineStr">
        <is>
          <t>2-position screw terminal blocks</t>
        </is>
      </c>
      <c r="C32" s="2" t="inlineStr">
        <is>
          <t>LAYOUT CHOICE</t>
        </is>
      </c>
      <c r="D32" s="5" t="inlineStr">
        <is>
          <t>Search — not verified</t>
        </is>
      </c>
      <c r="E32" s="5" t="inlineStr">
        <is>
          <t>Search — not verified</t>
        </is>
      </c>
      <c r="F32" s="5" t="inlineStr">
        <is>
          <t>Search — not verified</t>
        </is>
      </c>
      <c r="G32" s="5" t="inlineStr">
        <is>
          <t>Search — not verified</t>
        </is>
      </c>
      <c r="H32" s="5" t="inlineStr">
        <is>
          <t>Search — not verified</t>
        </is>
      </c>
    </row>
    <row r="33" ht="84" customHeight="1">
      <c r="A33" s="3" t="inlineStr">
        <is>
          <t>B32</t>
        </is>
      </c>
      <c r="B33" s="3" t="inlineStr">
        <is>
          <t>Signal wiring / Arduino jumper pigtail harness</t>
        </is>
      </c>
      <c r="C33" s="3" t="inlineStr">
        <is>
          <t>SPEC READY</t>
        </is>
      </c>
      <c r="D33" s="6" t="inlineStr">
        <is>
          <t>Search — not verified</t>
        </is>
      </c>
      <c r="E33" s="6" t="inlineStr">
        <is>
          <t>Search — not verified</t>
        </is>
      </c>
      <c r="F33" s="6" t="inlineStr">
        <is>
          <t>Search — not verified</t>
        </is>
      </c>
      <c r="G33" s="6" t="inlineStr">
        <is>
          <t>Search — not verified</t>
        </is>
      </c>
      <c r="H33" s="6" t="inlineStr">
        <is>
          <t>Search — not verified</t>
        </is>
      </c>
    </row>
    <row r="34" ht="84" customHeight="1">
      <c r="A34" s="2" t="inlineStr">
        <is>
          <t>B33</t>
        </is>
      </c>
      <c r="B34" s="2" t="inlineStr">
        <is>
          <t>Power wiring</t>
        </is>
      </c>
      <c r="C34" s="2" t="inlineStr">
        <is>
          <t>SPEC READY</t>
        </is>
      </c>
      <c r="D34" s="5" t="inlineStr">
        <is>
          <t>Search — not verified</t>
        </is>
      </c>
      <c r="E34" s="5" t="inlineStr">
        <is>
          <t>Search — not verified</t>
        </is>
      </c>
      <c r="F34" s="5" t="inlineStr">
        <is>
          <t>Search — not verified</t>
        </is>
      </c>
      <c r="G34" s="5" t="inlineStr">
        <is>
          <t>Search — not verified</t>
        </is>
      </c>
      <c r="H34" s="5" t="inlineStr">
        <is>
          <t>Search — not verified</t>
        </is>
      </c>
    </row>
    <row r="35" ht="84" customHeight="1">
      <c r="A35" s="3" t="inlineStr">
        <is>
          <t>B34</t>
        </is>
      </c>
      <c r="B35" s="3" t="inlineStr">
        <is>
          <t>Solderable perfboard</t>
        </is>
      </c>
      <c r="C35" s="3" t="inlineStr">
        <is>
          <t>VERIFY LAYOUT</t>
        </is>
      </c>
      <c r="D35" s="6" t="inlineStr">
        <is>
          <t>Search — not verified</t>
        </is>
      </c>
      <c r="E35" s="6" t="inlineStr">
        <is>
          <t>Search — not verified</t>
        </is>
      </c>
      <c r="F35" s="6" t="inlineStr">
        <is>
          <t>Search — not verified</t>
        </is>
      </c>
      <c r="G35" s="6" t="inlineStr">
        <is>
          <t>Search — not verified</t>
        </is>
      </c>
      <c r="H35" s="6" t="inlineStr">
        <is>
          <t>Search — not verified</t>
        </is>
      </c>
    </row>
    <row r="36" ht="84" customHeight="1">
      <c r="A36" s="2" t="inlineStr">
        <is>
          <t>B35</t>
        </is>
      </c>
      <c r="B36" s="2" t="inlineStr">
        <is>
          <t>A4988 carrier pin headers and mating sockets</t>
        </is>
      </c>
      <c r="C36" s="2" t="inlineStr">
        <is>
          <t>CHECK BUNDLE</t>
        </is>
      </c>
      <c r="D36" s="5" t="inlineStr">
        <is>
          <t>Search — not verified</t>
        </is>
      </c>
      <c r="E36" s="5" t="inlineStr">
        <is>
          <t>Search — not verified</t>
        </is>
      </c>
      <c r="F36" s="5" t="inlineStr">
        <is>
          <t>Search — not verified</t>
        </is>
      </c>
      <c r="G36" s="5" t="inlineStr">
        <is>
          <t>Search — not verified</t>
        </is>
      </c>
      <c r="H36" s="5" t="inlineStr">
        <is>
          <t>Search — not verified</t>
        </is>
      </c>
    </row>
    <row r="37" ht="84" customHeight="1">
      <c r="A37" s="3" t="inlineStr">
        <is>
          <t>B36</t>
        </is>
      </c>
      <c r="B37" s="3" t="inlineStr">
        <is>
          <t>Heat-shrink insulation and cable restraints</t>
        </is>
      </c>
      <c r="C37" s="3" t="inlineStr">
        <is>
          <t>SPEC READY</t>
        </is>
      </c>
      <c r="D37" s="6" t="inlineStr">
        <is>
          <t>Search — not verified</t>
        </is>
      </c>
      <c r="E37" s="6" t="inlineStr">
        <is>
          <t>Search — not verified</t>
        </is>
      </c>
      <c r="F37" s="6" t="inlineStr">
        <is>
          <t>Search — not verified</t>
        </is>
      </c>
      <c r="G37" s="6" t="inlineStr">
        <is>
          <t>Search — not verified</t>
        </is>
      </c>
      <c r="H37" s="6" t="inlineStr">
        <is>
          <t>Search — not verified</t>
        </is>
      </c>
    </row>
    <row r="38" ht="84" customHeight="1">
      <c r="A38" s="2" t="inlineStr">
        <is>
          <t>B37</t>
        </is>
      </c>
      <c r="B38" s="2" t="inlineStr">
        <is>
          <t>Uno USB DATA cable</t>
        </is>
      </c>
      <c r="C38" s="2" t="inlineStr">
        <is>
          <t>CHECK BUNDLE</t>
        </is>
      </c>
      <c r="D38" s="5" t="inlineStr">
        <is>
          <t>Search — not verified</t>
        </is>
      </c>
      <c r="E38" s="5" t="inlineStr">
        <is>
          <t>Search — not verified</t>
        </is>
      </c>
      <c r="F38" s="5" t="inlineStr">
        <is>
          <t>Search — not verified</t>
        </is>
      </c>
      <c r="G38" s="5" t="inlineStr">
        <is>
          <t>Search — not verified</t>
        </is>
      </c>
      <c r="H38" s="5" t="inlineStr">
        <is>
          <t>Search — not verified</t>
        </is>
      </c>
    </row>
    <row r="39" ht="84" customHeight="1">
      <c r="A39" s="3" t="inlineStr">
        <is>
          <t>B38</t>
        </is>
      </c>
      <c r="B39" s="3" t="inlineStr">
        <is>
          <t>Clear uncoloured solid polycarbonate coupon</t>
        </is>
      </c>
      <c r="C39" s="3" t="inlineStr">
        <is>
          <t>VERIFY MATERIAL</t>
        </is>
      </c>
      <c r="D39" s="6" t="inlineStr">
        <is>
          <t>Search — not verified</t>
        </is>
      </c>
      <c r="E39" s="6" t="inlineStr">
        <is>
          <t>Search — not verified</t>
        </is>
      </c>
      <c r="F39" s="6" t="inlineStr">
        <is>
          <t>Search — not verified</t>
        </is>
      </c>
      <c r="G39" s="6" t="inlineStr">
        <is>
          <t>Search — not verified</t>
        </is>
      </c>
      <c r="H39" s="6" t="inlineStr">
        <is>
          <t>Search — not verified</t>
        </is>
      </c>
    </row>
  </sheetData>
  <autoFilter ref="A1:H3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D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D6" r:id="rId21"/>
    <hyperlink xmlns:r="http://schemas.openxmlformats.org/officeDocument/2006/relationships" ref="E6" r:id="rId22"/>
    <hyperlink xmlns:r="http://schemas.openxmlformats.org/officeDocument/2006/relationships" ref="F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D7" r:id="rId26"/>
    <hyperlink xmlns:r="http://schemas.openxmlformats.org/officeDocument/2006/relationships" ref="E7" r:id="rId27"/>
    <hyperlink xmlns:r="http://schemas.openxmlformats.org/officeDocument/2006/relationships" ref="F7" r:id="rId28"/>
    <hyperlink xmlns:r="http://schemas.openxmlformats.org/officeDocument/2006/relationships" ref="G7" r:id="rId29"/>
    <hyperlink xmlns:r="http://schemas.openxmlformats.org/officeDocument/2006/relationships" ref="H7" r:id="rId30"/>
    <hyperlink xmlns:r="http://schemas.openxmlformats.org/officeDocument/2006/relationships" ref="D8" r:id="rId31"/>
    <hyperlink xmlns:r="http://schemas.openxmlformats.org/officeDocument/2006/relationships" ref="E8" r:id="rId32"/>
    <hyperlink xmlns:r="http://schemas.openxmlformats.org/officeDocument/2006/relationships" ref="F8" r:id="rId33"/>
    <hyperlink xmlns:r="http://schemas.openxmlformats.org/officeDocument/2006/relationships" ref="G8" r:id="rId34"/>
    <hyperlink xmlns:r="http://schemas.openxmlformats.org/officeDocument/2006/relationships" ref="H8" r:id="rId35"/>
    <hyperlink xmlns:r="http://schemas.openxmlformats.org/officeDocument/2006/relationships" ref="D9" r:id="rId36"/>
    <hyperlink xmlns:r="http://schemas.openxmlformats.org/officeDocument/2006/relationships" ref="E9" r:id="rId37"/>
    <hyperlink xmlns:r="http://schemas.openxmlformats.org/officeDocument/2006/relationships" ref="F9" r:id="rId38"/>
    <hyperlink xmlns:r="http://schemas.openxmlformats.org/officeDocument/2006/relationships" ref="G9" r:id="rId39"/>
    <hyperlink xmlns:r="http://schemas.openxmlformats.org/officeDocument/2006/relationships" ref="H9" r:id="rId40"/>
    <hyperlink xmlns:r="http://schemas.openxmlformats.org/officeDocument/2006/relationships" ref="D10" r:id="rId41"/>
    <hyperlink xmlns:r="http://schemas.openxmlformats.org/officeDocument/2006/relationships" ref="E10" r:id="rId42"/>
    <hyperlink xmlns:r="http://schemas.openxmlformats.org/officeDocument/2006/relationships" ref="F10" r:id="rId43"/>
    <hyperlink xmlns:r="http://schemas.openxmlformats.org/officeDocument/2006/relationships" ref="G10" r:id="rId44"/>
    <hyperlink xmlns:r="http://schemas.openxmlformats.org/officeDocument/2006/relationships" ref="H10" r:id="rId45"/>
    <hyperlink xmlns:r="http://schemas.openxmlformats.org/officeDocument/2006/relationships" ref="D11" r:id="rId46"/>
    <hyperlink xmlns:r="http://schemas.openxmlformats.org/officeDocument/2006/relationships" ref="E11" r:id="rId47"/>
    <hyperlink xmlns:r="http://schemas.openxmlformats.org/officeDocument/2006/relationships" ref="F11" r:id="rId48"/>
    <hyperlink xmlns:r="http://schemas.openxmlformats.org/officeDocument/2006/relationships" ref="G11" r:id="rId49"/>
    <hyperlink xmlns:r="http://schemas.openxmlformats.org/officeDocument/2006/relationships" ref="H11" r:id="rId50"/>
    <hyperlink xmlns:r="http://schemas.openxmlformats.org/officeDocument/2006/relationships" ref="D12" r:id="rId51"/>
    <hyperlink xmlns:r="http://schemas.openxmlformats.org/officeDocument/2006/relationships" ref="E12" r:id="rId52"/>
    <hyperlink xmlns:r="http://schemas.openxmlformats.org/officeDocument/2006/relationships" ref="F12" r:id="rId53"/>
    <hyperlink xmlns:r="http://schemas.openxmlformats.org/officeDocument/2006/relationships" ref="G12" r:id="rId54"/>
    <hyperlink xmlns:r="http://schemas.openxmlformats.org/officeDocument/2006/relationships" ref="H12" r:id="rId55"/>
    <hyperlink xmlns:r="http://schemas.openxmlformats.org/officeDocument/2006/relationships" ref="D13" r:id="rId56"/>
    <hyperlink xmlns:r="http://schemas.openxmlformats.org/officeDocument/2006/relationships" ref="E13" r:id="rId57"/>
    <hyperlink xmlns:r="http://schemas.openxmlformats.org/officeDocument/2006/relationships" ref="F13" r:id="rId58"/>
    <hyperlink xmlns:r="http://schemas.openxmlformats.org/officeDocument/2006/relationships" ref="G13" r:id="rId59"/>
    <hyperlink xmlns:r="http://schemas.openxmlformats.org/officeDocument/2006/relationships" ref="H13" r:id="rId60"/>
    <hyperlink xmlns:r="http://schemas.openxmlformats.org/officeDocument/2006/relationships" ref="D14" r:id="rId61"/>
    <hyperlink xmlns:r="http://schemas.openxmlformats.org/officeDocument/2006/relationships" ref="E14" r:id="rId62"/>
    <hyperlink xmlns:r="http://schemas.openxmlformats.org/officeDocument/2006/relationships" ref="F14" r:id="rId63"/>
    <hyperlink xmlns:r="http://schemas.openxmlformats.org/officeDocument/2006/relationships" ref="G14" r:id="rId64"/>
    <hyperlink xmlns:r="http://schemas.openxmlformats.org/officeDocument/2006/relationships" ref="H14" r:id="rId65"/>
    <hyperlink xmlns:r="http://schemas.openxmlformats.org/officeDocument/2006/relationships" ref="D15" r:id="rId66"/>
    <hyperlink xmlns:r="http://schemas.openxmlformats.org/officeDocument/2006/relationships" ref="E15" r:id="rId67"/>
    <hyperlink xmlns:r="http://schemas.openxmlformats.org/officeDocument/2006/relationships" ref="F15" r:id="rId68"/>
    <hyperlink xmlns:r="http://schemas.openxmlformats.org/officeDocument/2006/relationships" ref="G15" r:id="rId69"/>
    <hyperlink xmlns:r="http://schemas.openxmlformats.org/officeDocument/2006/relationships" ref="H15" r:id="rId70"/>
    <hyperlink xmlns:r="http://schemas.openxmlformats.org/officeDocument/2006/relationships" ref="D16" r:id="rId71"/>
    <hyperlink xmlns:r="http://schemas.openxmlformats.org/officeDocument/2006/relationships" ref="E16" r:id="rId72"/>
    <hyperlink xmlns:r="http://schemas.openxmlformats.org/officeDocument/2006/relationships" ref="F16" r:id="rId73"/>
    <hyperlink xmlns:r="http://schemas.openxmlformats.org/officeDocument/2006/relationships" ref="G16" r:id="rId74"/>
    <hyperlink xmlns:r="http://schemas.openxmlformats.org/officeDocument/2006/relationships" ref="H16" r:id="rId75"/>
    <hyperlink xmlns:r="http://schemas.openxmlformats.org/officeDocument/2006/relationships" ref="D17" r:id="rId76"/>
    <hyperlink xmlns:r="http://schemas.openxmlformats.org/officeDocument/2006/relationships" ref="E17" r:id="rId77"/>
    <hyperlink xmlns:r="http://schemas.openxmlformats.org/officeDocument/2006/relationships" ref="F17" r:id="rId78"/>
    <hyperlink xmlns:r="http://schemas.openxmlformats.org/officeDocument/2006/relationships" ref="G17" r:id="rId79"/>
    <hyperlink xmlns:r="http://schemas.openxmlformats.org/officeDocument/2006/relationships" ref="H17" r:id="rId80"/>
    <hyperlink xmlns:r="http://schemas.openxmlformats.org/officeDocument/2006/relationships" ref="D18" r:id="rId81"/>
    <hyperlink xmlns:r="http://schemas.openxmlformats.org/officeDocument/2006/relationships" ref="E18" r:id="rId82"/>
    <hyperlink xmlns:r="http://schemas.openxmlformats.org/officeDocument/2006/relationships" ref="F18" r:id="rId83"/>
    <hyperlink xmlns:r="http://schemas.openxmlformats.org/officeDocument/2006/relationships" ref="G18" r:id="rId84"/>
    <hyperlink xmlns:r="http://schemas.openxmlformats.org/officeDocument/2006/relationships" ref="H18" r:id="rId85"/>
    <hyperlink xmlns:r="http://schemas.openxmlformats.org/officeDocument/2006/relationships" ref="D19" r:id="rId86"/>
    <hyperlink xmlns:r="http://schemas.openxmlformats.org/officeDocument/2006/relationships" ref="E19" r:id="rId87"/>
    <hyperlink xmlns:r="http://schemas.openxmlformats.org/officeDocument/2006/relationships" ref="F19" r:id="rId88"/>
    <hyperlink xmlns:r="http://schemas.openxmlformats.org/officeDocument/2006/relationships" ref="G19" r:id="rId89"/>
    <hyperlink xmlns:r="http://schemas.openxmlformats.org/officeDocument/2006/relationships" ref="H19" r:id="rId90"/>
    <hyperlink xmlns:r="http://schemas.openxmlformats.org/officeDocument/2006/relationships" ref="D20" r:id="rId91"/>
    <hyperlink xmlns:r="http://schemas.openxmlformats.org/officeDocument/2006/relationships" ref="E20" r:id="rId92"/>
    <hyperlink xmlns:r="http://schemas.openxmlformats.org/officeDocument/2006/relationships" ref="F20" r:id="rId93"/>
    <hyperlink xmlns:r="http://schemas.openxmlformats.org/officeDocument/2006/relationships" ref="G20" r:id="rId94"/>
    <hyperlink xmlns:r="http://schemas.openxmlformats.org/officeDocument/2006/relationships" ref="H20" r:id="rId95"/>
    <hyperlink xmlns:r="http://schemas.openxmlformats.org/officeDocument/2006/relationships" ref="D21" r:id="rId96"/>
    <hyperlink xmlns:r="http://schemas.openxmlformats.org/officeDocument/2006/relationships" ref="E21" r:id="rId97"/>
    <hyperlink xmlns:r="http://schemas.openxmlformats.org/officeDocument/2006/relationships" ref="F21" r:id="rId98"/>
    <hyperlink xmlns:r="http://schemas.openxmlformats.org/officeDocument/2006/relationships" ref="G21" r:id="rId99"/>
    <hyperlink xmlns:r="http://schemas.openxmlformats.org/officeDocument/2006/relationships" ref="H21" r:id="rId100"/>
    <hyperlink xmlns:r="http://schemas.openxmlformats.org/officeDocument/2006/relationships" ref="D22" r:id="rId101"/>
    <hyperlink xmlns:r="http://schemas.openxmlformats.org/officeDocument/2006/relationships" ref="E22" r:id="rId102"/>
    <hyperlink xmlns:r="http://schemas.openxmlformats.org/officeDocument/2006/relationships" ref="F22" r:id="rId103"/>
    <hyperlink xmlns:r="http://schemas.openxmlformats.org/officeDocument/2006/relationships" ref="G22" r:id="rId104"/>
    <hyperlink xmlns:r="http://schemas.openxmlformats.org/officeDocument/2006/relationships" ref="H22" r:id="rId105"/>
    <hyperlink xmlns:r="http://schemas.openxmlformats.org/officeDocument/2006/relationships" ref="D23" r:id="rId106"/>
    <hyperlink xmlns:r="http://schemas.openxmlformats.org/officeDocument/2006/relationships" ref="E23" r:id="rId107"/>
    <hyperlink xmlns:r="http://schemas.openxmlformats.org/officeDocument/2006/relationships" ref="F23" r:id="rId108"/>
    <hyperlink xmlns:r="http://schemas.openxmlformats.org/officeDocument/2006/relationships" ref="G23" r:id="rId109"/>
    <hyperlink xmlns:r="http://schemas.openxmlformats.org/officeDocument/2006/relationships" ref="H23" r:id="rId110"/>
    <hyperlink xmlns:r="http://schemas.openxmlformats.org/officeDocument/2006/relationships" ref="D24" r:id="rId111"/>
    <hyperlink xmlns:r="http://schemas.openxmlformats.org/officeDocument/2006/relationships" ref="E24" r:id="rId112"/>
    <hyperlink xmlns:r="http://schemas.openxmlformats.org/officeDocument/2006/relationships" ref="F24" r:id="rId113"/>
    <hyperlink xmlns:r="http://schemas.openxmlformats.org/officeDocument/2006/relationships" ref="G24" r:id="rId114"/>
    <hyperlink xmlns:r="http://schemas.openxmlformats.org/officeDocument/2006/relationships" ref="H24" r:id="rId115"/>
    <hyperlink xmlns:r="http://schemas.openxmlformats.org/officeDocument/2006/relationships" ref="D25" r:id="rId116"/>
    <hyperlink xmlns:r="http://schemas.openxmlformats.org/officeDocument/2006/relationships" ref="E25" r:id="rId117"/>
    <hyperlink xmlns:r="http://schemas.openxmlformats.org/officeDocument/2006/relationships" ref="F25" r:id="rId118"/>
    <hyperlink xmlns:r="http://schemas.openxmlformats.org/officeDocument/2006/relationships" ref="G25" r:id="rId119"/>
    <hyperlink xmlns:r="http://schemas.openxmlformats.org/officeDocument/2006/relationships" ref="H25" r:id="rId120"/>
    <hyperlink xmlns:r="http://schemas.openxmlformats.org/officeDocument/2006/relationships" ref="D26" r:id="rId121"/>
    <hyperlink xmlns:r="http://schemas.openxmlformats.org/officeDocument/2006/relationships" ref="E26" r:id="rId122"/>
    <hyperlink xmlns:r="http://schemas.openxmlformats.org/officeDocument/2006/relationships" ref="F26" r:id="rId123"/>
    <hyperlink xmlns:r="http://schemas.openxmlformats.org/officeDocument/2006/relationships" ref="G26" r:id="rId124"/>
    <hyperlink xmlns:r="http://schemas.openxmlformats.org/officeDocument/2006/relationships" ref="H26" r:id="rId125"/>
    <hyperlink xmlns:r="http://schemas.openxmlformats.org/officeDocument/2006/relationships" ref="D27" r:id="rId126"/>
    <hyperlink xmlns:r="http://schemas.openxmlformats.org/officeDocument/2006/relationships" ref="E27" r:id="rId127"/>
    <hyperlink xmlns:r="http://schemas.openxmlformats.org/officeDocument/2006/relationships" ref="F27" r:id="rId128"/>
    <hyperlink xmlns:r="http://schemas.openxmlformats.org/officeDocument/2006/relationships" ref="G27" r:id="rId129"/>
    <hyperlink xmlns:r="http://schemas.openxmlformats.org/officeDocument/2006/relationships" ref="H27" r:id="rId130"/>
    <hyperlink xmlns:r="http://schemas.openxmlformats.org/officeDocument/2006/relationships" ref="D28" r:id="rId131"/>
    <hyperlink xmlns:r="http://schemas.openxmlformats.org/officeDocument/2006/relationships" ref="E28" r:id="rId132"/>
    <hyperlink xmlns:r="http://schemas.openxmlformats.org/officeDocument/2006/relationships" ref="F28" r:id="rId133"/>
    <hyperlink xmlns:r="http://schemas.openxmlformats.org/officeDocument/2006/relationships" ref="G28" r:id="rId134"/>
    <hyperlink xmlns:r="http://schemas.openxmlformats.org/officeDocument/2006/relationships" ref="H28" r:id="rId135"/>
    <hyperlink xmlns:r="http://schemas.openxmlformats.org/officeDocument/2006/relationships" ref="D29" r:id="rId136"/>
    <hyperlink xmlns:r="http://schemas.openxmlformats.org/officeDocument/2006/relationships" ref="E29" r:id="rId137"/>
    <hyperlink xmlns:r="http://schemas.openxmlformats.org/officeDocument/2006/relationships" ref="F29" r:id="rId138"/>
    <hyperlink xmlns:r="http://schemas.openxmlformats.org/officeDocument/2006/relationships" ref="G29" r:id="rId139"/>
    <hyperlink xmlns:r="http://schemas.openxmlformats.org/officeDocument/2006/relationships" ref="H29" r:id="rId140"/>
    <hyperlink xmlns:r="http://schemas.openxmlformats.org/officeDocument/2006/relationships" ref="D30" r:id="rId141"/>
    <hyperlink xmlns:r="http://schemas.openxmlformats.org/officeDocument/2006/relationships" ref="E30" r:id="rId142"/>
    <hyperlink xmlns:r="http://schemas.openxmlformats.org/officeDocument/2006/relationships" ref="F30" r:id="rId143"/>
    <hyperlink xmlns:r="http://schemas.openxmlformats.org/officeDocument/2006/relationships" ref="G30" r:id="rId144"/>
    <hyperlink xmlns:r="http://schemas.openxmlformats.org/officeDocument/2006/relationships" ref="H30" r:id="rId145"/>
    <hyperlink xmlns:r="http://schemas.openxmlformats.org/officeDocument/2006/relationships" ref="D31" r:id="rId146"/>
    <hyperlink xmlns:r="http://schemas.openxmlformats.org/officeDocument/2006/relationships" ref="E31" r:id="rId147"/>
    <hyperlink xmlns:r="http://schemas.openxmlformats.org/officeDocument/2006/relationships" ref="F31" r:id="rId148"/>
    <hyperlink xmlns:r="http://schemas.openxmlformats.org/officeDocument/2006/relationships" ref="G31" r:id="rId149"/>
    <hyperlink xmlns:r="http://schemas.openxmlformats.org/officeDocument/2006/relationships" ref="H31" r:id="rId150"/>
    <hyperlink xmlns:r="http://schemas.openxmlformats.org/officeDocument/2006/relationships" ref="D32" r:id="rId151"/>
    <hyperlink xmlns:r="http://schemas.openxmlformats.org/officeDocument/2006/relationships" ref="E32" r:id="rId152"/>
    <hyperlink xmlns:r="http://schemas.openxmlformats.org/officeDocument/2006/relationships" ref="F32" r:id="rId153"/>
    <hyperlink xmlns:r="http://schemas.openxmlformats.org/officeDocument/2006/relationships" ref="G32" r:id="rId154"/>
    <hyperlink xmlns:r="http://schemas.openxmlformats.org/officeDocument/2006/relationships" ref="H32" r:id="rId155"/>
    <hyperlink xmlns:r="http://schemas.openxmlformats.org/officeDocument/2006/relationships" ref="D33" r:id="rId156"/>
    <hyperlink xmlns:r="http://schemas.openxmlformats.org/officeDocument/2006/relationships" ref="E33" r:id="rId157"/>
    <hyperlink xmlns:r="http://schemas.openxmlformats.org/officeDocument/2006/relationships" ref="F33" r:id="rId158"/>
    <hyperlink xmlns:r="http://schemas.openxmlformats.org/officeDocument/2006/relationships" ref="G33" r:id="rId159"/>
    <hyperlink xmlns:r="http://schemas.openxmlformats.org/officeDocument/2006/relationships" ref="H33" r:id="rId160"/>
    <hyperlink xmlns:r="http://schemas.openxmlformats.org/officeDocument/2006/relationships" ref="D34" r:id="rId161"/>
    <hyperlink xmlns:r="http://schemas.openxmlformats.org/officeDocument/2006/relationships" ref="E34" r:id="rId162"/>
    <hyperlink xmlns:r="http://schemas.openxmlformats.org/officeDocument/2006/relationships" ref="F34" r:id="rId163"/>
    <hyperlink xmlns:r="http://schemas.openxmlformats.org/officeDocument/2006/relationships" ref="G34" r:id="rId164"/>
    <hyperlink xmlns:r="http://schemas.openxmlformats.org/officeDocument/2006/relationships" ref="H34" r:id="rId165"/>
    <hyperlink xmlns:r="http://schemas.openxmlformats.org/officeDocument/2006/relationships" ref="D35" r:id="rId166"/>
    <hyperlink xmlns:r="http://schemas.openxmlformats.org/officeDocument/2006/relationships" ref="E35" r:id="rId167"/>
    <hyperlink xmlns:r="http://schemas.openxmlformats.org/officeDocument/2006/relationships" ref="F35" r:id="rId168"/>
    <hyperlink xmlns:r="http://schemas.openxmlformats.org/officeDocument/2006/relationships" ref="G35" r:id="rId169"/>
    <hyperlink xmlns:r="http://schemas.openxmlformats.org/officeDocument/2006/relationships" ref="H35" r:id="rId170"/>
    <hyperlink xmlns:r="http://schemas.openxmlformats.org/officeDocument/2006/relationships" ref="D36" r:id="rId171"/>
    <hyperlink xmlns:r="http://schemas.openxmlformats.org/officeDocument/2006/relationships" ref="E36" r:id="rId172"/>
    <hyperlink xmlns:r="http://schemas.openxmlformats.org/officeDocument/2006/relationships" ref="F36" r:id="rId173"/>
    <hyperlink xmlns:r="http://schemas.openxmlformats.org/officeDocument/2006/relationships" ref="G36" r:id="rId174"/>
    <hyperlink xmlns:r="http://schemas.openxmlformats.org/officeDocument/2006/relationships" ref="H36" r:id="rId175"/>
    <hyperlink xmlns:r="http://schemas.openxmlformats.org/officeDocument/2006/relationships" ref="D37" r:id="rId176"/>
    <hyperlink xmlns:r="http://schemas.openxmlformats.org/officeDocument/2006/relationships" ref="E37" r:id="rId177"/>
    <hyperlink xmlns:r="http://schemas.openxmlformats.org/officeDocument/2006/relationships" ref="F37" r:id="rId178"/>
    <hyperlink xmlns:r="http://schemas.openxmlformats.org/officeDocument/2006/relationships" ref="G37" r:id="rId179"/>
    <hyperlink xmlns:r="http://schemas.openxmlformats.org/officeDocument/2006/relationships" ref="H37" r:id="rId180"/>
    <hyperlink xmlns:r="http://schemas.openxmlformats.org/officeDocument/2006/relationships" ref="D38" r:id="rId181"/>
    <hyperlink xmlns:r="http://schemas.openxmlformats.org/officeDocument/2006/relationships" ref="E38" r:id="rId182"/>
    <hyperlink xmlns:r="http://schemas.openxmlformats.org/officeDocument/2006/relationships" ref="F38" r:id="rId183"/>
    <hyperlink xmlns:r="http://schemas.openxmlformats.org/officeDocument/2006/relationships" ref="G38" r:id="rId184"/>
    <hyperlink xmlns:r="http://schemas.openxmlformats.org/officeDocument/2006/relationships" ref="H38" r:id="rId185"/>
    <hyperlink xmlns:r="http://schemas.openxmlformats.org/officeDocument/2006/relationships" ref="D39" r:id="rId186"/>
    <hyperlink xmlns:r="http://schemas.openxmlformats.org/officeDocument/2006/relationships" ref="E39" r:id="rId187"/>
    <hyperlink xmlns:r="http://schemas.openxmlformats.org/officeDocument/2006/relationships" ref="F39" r:id="rId188"/>
    <hyperlink xmlns:r="http://schemas.openxmlformats.org/officeDocument/2006/relationships" ref="G39" r:id="rId189"/>
    <hyperlink xmlns:r="http://schemas.openxmlformats.org/officeDocument/2006/relationships" ref="H39" r:id="rId19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26" customWidth="1" min="3" max="3"/>
    <col width="28" customWidth="1" min="4" max="4"/>
    <col width="23" customWidth="1" min="5" max="5"/>
    <col width="35" customWidth="1" min="6" max="6"/>
    <col width="70" customWidth="1" min="7" max="7"/>
    <col width="65" customWidth="1" min="8" max="8"/>
  </cols>
  <sheetData>
    <row r="1" ht="44" customHeight="1">
      <c r="A1" s="1" t="inlineStr">
        <is>
          <t>ID</t>
        </is>
      </c>
      <c r="B1" s="1" t="inlineStr">
        <is>
          <t>Component</t>
        </is>
      </c>
      <c r="C1" s="1" t="inlineStr">
        <is>
          <t>Order quantity (enter 0 if owned/included)</t>
        </is>
      </c>
      <c r="D1" s="1" t="inlineStr">
        <is>
          <t>Actual unit price INR (enter 0 for zero quantity)</t>
        </is>
      </c>
      <c r="E1" s="1" t="inlineStr">
        <is>
          <t>Line total INR</t>
        </is>
      </c>
      <c r="F1" s="1" t="inlineStr">
        <is>
          <t>Supplier / fabrication shop</t>
        </is>
      </c>
      <c r="G1" s="1" t="inlineStr">
        <is>
          <t>Actual product URL / quotation reference</t>
        </is>
      </c>
      <c r="H1" s="1" t="inlineStr">
        <is>
          <t>Checked specification / gate / date</t>
        </is>
      </c>
    </row>
    <row r="2" ht="84" customHeight="1">
      <c r="A2" s="2" t="inlineStr">
        <is>
          <t>B01</t>
        </is>
      </c>
      <c r="B2" s="2" t="inlineStr">
        <is>
          <t>Arduino Uno R3 ATmega328P</t>
        </is>
      </c>
      <c r="C2" s="7" t="n"/>
      <c r="D2" s="8" t="n"/>
      <c r="E2" s="9">
        <f>IF(OR(C2="",D2=""),"",C2*D2)</f>
        <v/>
      </c>
      <c r="F2" s="7" t="inlineStr"/>
      <c r="G2" s="7" t="inlineStr"/>
      <c r="H2" s="2" t="inlineStr">
        <is>
          <t>SPEC READY</t>
        </is>
      </c>
    </row>
    <row r="3" ht="84" customHeight="1">
      <c r="A3" s="3" t="inlineStr">
        <is>
          <t>B02</t>
        </is>
      </c>
      <c r="B3" s="3" t="inlineStr">
        <is>
          <t>A4988 carrier with heatsink</t>
        </is>
      </c>
      <c r="C3" s="7" t="n"/>
      <c r="D3" s="8" t="n"/>
      <c r="E3" s="10">
        <f>IF(OR(C3="",D3=""),"",C3*D3)</f>
        <v/>
      </c>
      <c r="F3" s="7" t="inlineStr"/>
      <c r="G3" s="7" t="inlineStr"/>
      <c r="H3" s="3" t="inlineStr">
        <is>
          <t>SPEC READY</t>
        </is>
      </c>
    </row>
    <row r="4" ht="84" customHeight="1">
      <c r="A4" s="2" t="inlineStr">
        <is>
          <t>B03</t>
        </is>
      </c>
      <c r="B4" s="2" t="inlineStr">
        <is>
          <t>NEMA17 4-wire bipolar stepper; 17HS4401 candidate</t>
        </is>
      </c>
      <c r="C4" s="7" t="n"/>
      <c r="D4" s="8" t="n"/>
      <c r="E4" s="9">
        <f>IF(OR(C4="",D4=""),"",C4*D4)</f>
        <v/>
      </c>
      <c r="F4" s="7" t="inlineStr"/>
      <c r="G4" s="7" t="inlineStr"/>
      <c r="H4" s="2" t="inlineStr">
        <is>
          <t>VERIFY DATASHEET</t>
        </is>
      </c>
    </row>
    <row r="5" ht="84" customHeight="1">
      <c r="A5" s="3" t="inlineStr">
        <is>
          <t>B04</t>
        </is>
      </c>
      <c r="B5" s="3" t="inlineStr">
        <is>
          <t>UVC USB camera; Logitech C270 candidate only</t>
        </is>
      </c>
      <c r="C5" s="7" t="n"/>
      <c r="D5" s="8" t="n"/>
      <c r="E5" s="10">
        <f>IF(OR(C5="",D5=""),"",C5*D5)</f>
        <v/>
      </c>
      <c r="F5" s="7" t="inlineStr"/>
      <c r="G5" s="7" t="inlineStr"/>
      <c r="H5" s="4" t="inlineStr">
        <is>
          <t>HOLD: COMPATIBILITY</t>
        </is>
      </c>
    </row>
    <row r="6" ht="84" customHeight="1">
      <c r="A6" s="2" t="inlineStr">
        <is>
          <t>B05</t>
        </is>
      </c>
      <c r="B6" s="2" t="inlineStr">
        <is>
          <t>Isolated regulated 12 V DC / 3 A enclosed adapter</t>
        </is>
      </c>
      <c r="C6" s="7" t="n"/>
      <c r="D6" s="8" t="n"/>
      <c r="E6" s="9">
        <f>IF(OR(C6="",D6=""),"",C6*D6)</f>
        <v/>
      </c>
      <c r="F6" s="7" t="inlineStr"/>
      <c r="G6" s="7" t="inlineStr"/>
      <c r="H6" s="2" t="inlineStr">
        <is>
          <t>SPEC READY</t>
        </is>
      </c>
    </row>
    <row r="7" ht="84" customHeight="1">
      <c r="A7" s="3" t="inlineStr">
        <is>
          <t>B06</t>
        </is>
      </c>
      <c r="B7" s="3" t="inlineStr">
        <is>
          <t>FQP30N06L logic-level N-channel MOSFET</t>
        </is>
      </c>
      <c r="C7" s="7" t="n"/>
      <c r="D7" s="8" t="n"/>
      <c r="E7" s="10">
        <f>IF(OR(C7="",D7=""),"",C7*D7)</f>
        <v/>
      </c>
      <c r="F7" s="7" t="inlineStr"/>
      <c r="G7" s="7" t="inlineStr"/>
      <c r="H7" s="3" t="inlineStr">
        <is>
          <t>SPEC READY</t>
        </is>
      </c>
    </row>
    <row r="8" ht="84" customHeight="1">
      <c r="A8" s="2" t="inlineStr">
        <is>
          <t>B07</t>
        </is>
      </c>
      <c r="B8" s="2" t="inlineStr">
        <is>
          <t>SPDT lever microswitch; Omron SS-5GL candidate</t>
        </is>
      </c>
      <c r="C8" s="7" t="n"/>
      <c r="D8" s="8" t="n"/>
      <c r="E8" s="9">
        <f>IF(OR(C8="",D8=""),"",C8*D8)</f>
        <v/>
      </c>
      <c r="F8" s="7" t="inlineStr"/>
      <c r="G8" s="7" t="inlineStr"/>
      <c r="H8" s="2" t="inlineStr">
        <is>
          <t>VERIFY MOUNT</t>
        </is>
      </c>
    </row>
    <row r="9" ht="84" customHeight="1">
      <c r="A9" s="3" t="inlineStr">
        <is>
          <t>B08</t>
        </is>
      </c>
      <c r="B9" s="3" t="inlineStr">
        <is>
          <t>Visible linear polarizing film (P1 and P2)</t>
        </is>
      </c>
      <c r="C9" s="7" t="n"/>
      <c r="D9" s="8" t="n"/>
      <c r="E9" s="10">
        <f>IF(OR(C9="",D9=""),"",C9*D9)</f>
        <v/>
      </c>
      <c r="F9" s="7" t="inlineStr"/>
      <c r="G9" s="7" t="inlineStr"/>
      <c r="H9" s="4" t="inlineStr">
        <is>
          <t>HOLD: CUT LAYOUT</t>
        </is>
      </c>
    </row>
    <row r="10" ht="84" customHeight="1">
      <c r="A10" s="2" t="inlineStr">
        <is>
          <t>B09</t>
        </is>
      </c>
      <c r="B10" s="2" t="inlineStr">
        <is>
          <t>12 V diffused white LED backlight panel</t>
        </is>
      </c>
      <c r="C10" s="7" t="n"/>
      <c r="D10" s="8" t="n"/>
      <c r="E10" s="9">
        <f>IF(OR(C10="",D10=""),"",C10*D10)</f>
        <v/>
      </c>
      <c r="F10" s="7" t="inlineStr"/>
      <c r="G10" s="7" t="inlineStr"/>
      <c r="H10" s="2" t="inlineStr">
        <is>
          <t>VERIFY LISTING</t>
        </is>
      </c>
    </row>
    <row r="11" ht="84" customHeight="1">
      <c r="A11" s="3" t="inlineStr">
        <is>
          <t>B10</t>
        </is>
      </c>
      <c r="B11" s="3" t="inlineStr">
        <is>
          <t>Fixed P1 polarizer frame</t>
        </is>
      </c>
      <c r="C11" s="7" t="n"/>
      <c r="D11" s="8" t="n"/>
      <c r="E11" s="10">
        <f>IF(OR(C11="",D11=""),"",C11*D11)</f>
        <v/>
      </c>
      <c r="F11" s="7" t="inlineStr"/>
      <c r="G11" s="7" t="inlineStr"/>
      <c r="H11" s="3" t="inlineStr">
        <is>
          <t>FABRICATE</t>
        </is>
      </c>
    </row>
    <row r="12" ht="84" customHeight="1">
      <c r="A12" s="2" t="inlineStr">
        <is>
          <t>B11</t>
        </is>
      </c>
      <c r="B12" s="2" t="inlineStr">
        <is>
          <t>Custom 80T GT2 annular analyzer ring AND P2 holder</t>
        </is>
      </c>
      <c r="C12" s="7" t="n"/>
      <c r="D12" s="8" t="n"/>
      <c r="E12" s="9">
        <f>IF(OR(C12="",D12=""),"",C12*D12)</f>
        <v/>
      </c>
      <c r="F12" s="7" t="inlineStr"/>
      <c r="G12" s="7" t="inlineStr"/>
      <c r="H12" s="4" t="inlineStr">
        <is>
          <t>HOLD: DRAWING</t>
        </is>
      </c>
    </row>
    <row r="13" ht="84" customHeight="1">
      <c r="A13" s="3" t="inlineStr">
        <is>
          <t>B12</t>
        </is>
      </c>
      <c r="B13" s="3" t="inlineStr">
        <is>
          <t>GT2 closed-loop timing belt</t>
        </is>
      </c>
      <c r="C13" s="7" t="n"/>
      <c r="D13" s="8" t="n"/>
      <c r="E13" s="10">
        <f>IF(OR(C13="",D13=""),"",C13*D13)</f>
        <v/>
      </c>
      <c r="F13" s="7" t="inlineStr"/>
      <c r="G13" s="7" t="inlineStr"/>
      <c r="H13" s="4" t="inlineStr">
        <is>
          <t>HOLD: LENGTH</t>
        </is>
      </c>
    </row>
    <row r="14" ht="84" customHeight="1">
      <c r="A14" s="2" t="inlineStr">
        <is>
          <t>B13</t>
        </is>
      </c>
      <c r="B14" s="2" t="inlineStr">
        <is>
          <t>GT2 20T motor pulley</t>
        </is>
      </c>
      <c r="C14" s="7" t="n"/>
      <c r="D14" s="8" t="n"/>
      <c r="E14" s="9">
        <f>IF(OR(C14="",D14=""),"",C14*D14)</f>
        <v/>
      </c>
      <c r="F14" s="7" t="inlineStr"/>
      <c r="G14" s="7" t="inlineStr"/>
      <c r="H14" s="2" t="inlineStr">
        <is>
          <t>VERIFY SHAFT</t>
        </is>
      </c>
    </row>
    <row r="15" ht="84" customHeight="1">
      <c r="A15" s="3" t="inlineStr">
        <is>
          <t>B14</t>
        </is>
      </c>
      <c r="B15" s="3" t="inlineStr">
        <is>
          <t>Bearing / roller support for analyzer ring</t>
        </is>
      </c>
      <c r="C15" s="7" t="n"/>
      <c r="D15" s="8" t="n"/>
      <c r="E15" s="10">
        <f>IF(OR(C15="",D15=""),"",C15*D15)</f>
        <v/>
      </c>
      <c r="F15" s="7" t="inlineStr"/>
      <c r="G15" s="7" t="inlineStr"/>
      <c r="H15" s="4" t="inlineStr">
        <is>
          <t>HOLD: DRAWING</t>
        </is>
      </c>
    </row>
    <row r="16" ht="84" customHeight="1">
      <c r="A16" s="2" t="inlineStr">
        <is>
          <t>B15</t>
        </is>
      </c>
      <c r="B16" s="2" t="inlineStr">
        <is>
          <t>NEMA17 adjustable mounting bracket</t>
        </is>
      </c>
      <c r="C16" s="7" t="n"/>
      <c r="D16" s="8" t="n"/>
      <c r="E16" s="9">
        <f>IF(OR(C16="",D16=""),"",C16*D16)</f>
        <v/>
      </c>
      <c r="F16" s="7" t="inlineStr"/>
      <c r="G16" s="7" t="inlineStr"/>
      <c r="H16" s="2" t="inlineStr">
        <is>
          <t>VERIFY LAYOUT</t>
        </is>
      </c>
    </row>
    <row r="17" ht="84" customHeight="1">
      <c r="A17" s="3" t="inlineStr">
        <is>
          <t>B16</t>
        </is>
      </c>
      <c r="B17" s="3" t="inlineStr">
        <is>
          <t>Home-switch bracket and ring actuator/cam</t>
        </is>
      </c>
      <c r="C17" s="7" t="n"/>
      <c r="D17" s="8" t="n"/>
      <c r="E17" s="10">
        <f>IF(OR(C17="",D17=""),"",C17*D17)</f>
        <v/>
      </c>
      <c r="F17" s="7" t="inlineStr"/>
      <c r="G17" s="7" t="inlineStr"/>
      <c r="H17" s="3" t="inlineStr">
        <is>
          <t>FABRICATE</t>
        </is>
      </c>
    </row>
    <row r="18" ht="84" customHeight="1">
      <c r="A18" s="2" t="inlineStr">
        <is>
          <t>B17</t>
        </is>
      </c>
      <c r="B18" s="2" t="inlineStr">
        <is>
          <t>Rigid adjustable camera mount</t>
        </is>
      </c>
      <c r="C18" s="7" t="n"/>
      <c r="D18" s="8" t="n"/>
      <c r="E18" s="9">
        <f>IF(OR(C18="",D18=""),"",C18*D18)</f>
        <v/>
      </c>
      <c r="F18" s="7" t="inlineStr"/>
      <c r="G18" s="7" t="inlineStr"/>
      <c r="H18" s="2" t="inlineStr">
        <is>
          <t>VERIFY CAMERA</t>
        </is>
      </c>
    </row>
    <row r="19" ht="84" customHeight="1">
      <c r="A19" s="3" t="inlineStr">
        <is>
          <t>B18</t>
        </is>
      </c>
      <c r="B19" s="3" t="inlineStr">
        <is>
          <t>Specimen holder with two gentle edge supports</t>
        </is>
      </c>
      <c r="C19" s="7" t="n"/>
      <c r="D19" s="8" t="n"/>
      <c r="E19" s="10">
        <f>IF(OR(C19="",D19=""),"",C19*D19)</f>
        <v/>
      </c>
      <c r="F19" s="7" t="inlineStr"/>
      <c r="G19" s="7" t="inlineStr"/>
      <c r="H19" s="3" t="inlineStr">
        <is>
          <t>FABRICATE</t>
        </is>
      </c>
    </row>
    <row r="20" ht="84" customHeight="1">
      <c r="A20" s="2" t="inlineStr">
        <is>
          <t>B19</t>
        </is>
      </c>
      <c r="B20" s="2" t="inlineStr">
        <is>
          <t>Backlight/diffuser support</t>
        </is>
      </c>
      <c r="C20" s="7" t="n"/>
      <c r="D20" s="8" t="n"/>
      <c r="E20" s="9">
        <f>IF(OR(C20="",D20=""),"",C20*D20)</f>
        <v/>
      </c>
      <c r="F20" s="7" t="inlineStr"/>
      <c r="G20" s="7" t="inlineStr"/>
      <c r="H20" s="2" t="inlineStr">
        <is>
          <t>FABRICATE / BUNDLE</t>
        </is>
      </c>
    </row>
    <row r="21" ht="84" customHeight="1">
      <c r="A21" s="3" t="inlineStr">
        <is>
          <t>B20</t>
        </is>
      </c>
      <c r="B21" s="3" t="inlineStr">
        <is>
          <t>Rigid optical base / rail</t>
        </is>
      </c>
      <c r="C21" s="7" t="n"/>
      <c r="D21" s="8" t="n"/>
      <c r="E21" s="10">
        <f>IF(OR(C21="",D21=""),"",C21*D21)</f>
        <v/>
      </c>
      <c r="F21" s="7" t="inlineStr"/>
      <c r="G21" s="7" t="inlineStr"/>
      <c r="H21" s="4" t="inlineStr">
        <is>
          <t>HOLD: LAYOUT</t>
        </is>
      </c>
    </row>
    <row r="22" ht="84" customHeight="1">
      <c r="A22" s="2" t="inlineStr">
        <is>
          <t>B21</t>
        </is>
      </c>
      <c r="B22" s="2" t="inlineStr">
        <is>
          <t>M3/M4 fasteners, washers, standoffs</t>
        </is>
      </c>
      <c r="C22" s="7" t="n"/>
      <c r="D22" s="8" t="n"/>
      <c r="E22" s="9">
        <f>IF(OR(C22="",D22=""),"",C22*D22)</f>
        <v/>
      </c>
      <c r="F22" s="7" t="inlineStr"/>
      <c r="G22" s="7" t="inlineStr"/>
      <c r="H22" s="2" t="inlineStr">
        <is>
          <t>VERIFY LAYOUT</t>
        </is>
      </c>
    </row>
    <row r="23" ht="84" customHeight="1">
      <c r="A23" s="3" t="inlineStr">
        <is>
          <t>B22</t>
        </is>
      </c>
      <c r="B23" s="3" t="inlineStr">
        <is>
          <t>10 kΩ 1/4 W 1% metal-film resistor</t>
        </is>
      </c>
      <c r="C23" s="7" t="n"/>
      <c r="D23" s="8" t="n"/>
      <c r="E23" s="10">
        <f>IF(OR(C23="",D23=""),"",C23*D23)</f>
        <v/>
      </c>
      <c r="F23" s="7" t="inlineStr"/>
      <c r="G23" s="7" t="inlineStr"/>
      <c r="H23" s="3" t="inlineStr">
        <is>
          <t>SPEC READY</t>
        </is>
      </c>
    </row>
    <row r="24" ht="84" customHeight="1">
      <c r="A24" s="2" t="inlineStr">
        <is>
          <t>B23</t>
        </is>
      </c>
      <c r="B24" s="2" t="inlineStr">
        <is>
          <t>4.7 kΩ 1/4 W 1% metal-film resistor</t>
        </is>
      </c>
      <c r="C24" s="7" t="n"/>
      <c r="D24" s="8" t="n"/>
      <c r="E24" s="9">
        <f>IF(OR(C24="",D24=""),"",C24*D24)</f>
        <v/>
      </c>
      <c r="F24" s="7" t="inlineStr"/>
      <c r="G24" s="7" t="inlineStr"/>
      <c r="H24" s="2" t="inlineStr">
        <is>
          <t>SPEC READY</t>
        </is>
      </c>
    </row>
    <row r="25" ht="84" customHeight="1">
      <c r="A25" s="3" t="inlineStr">
        <is>
          <t>B24</t>
        </is>
      </c>
      <c r="B25" s="3" t="inlineStr">
        <is>
          <t>100 Ω 1/4 W 1% metal-film resistor</t>
        </is>
      </c>
      <c r="C25" s="7" t="n"/>
      <c r="D25" s="8" t="n"/>
      <c r="E25" s="10">
        <f>IF(OR(C25="",D25=""),"",C25*D25)</f>
        <v/>
      </c>
      <c r="F25" s="7" t="inlineStr"/>
      <c r="G25" s="7" t="inlineStr"/>
      <c r="H25" s="3" t="inlineStr">
        <is>
          <t>SPEC READY</t>
        </is>
      </c>
    </row>
    <row r="26" ht="84" customHeight="1">
      <c r="A26" s="2" t="inlineStr">
        <is>
          <t>B25</t>
        </is>
      </c>
      <c r="B26" s="2" t="inlineStr">
        <is>
          <t>100 µF 35 V radial electrolytic capacitor</t>
        </is>
      </c>
      <c r="C26" s="7" t="n"/>
      <c r="D26" s="8" t="n"/>
      <c r="E26" s="9">
        <f>IF(OR(C26="",D26=""),"",C26*D26)</f>
        <v/>
      </c>
      <c r="F26" s="7" t="inlineStr"/>
      <c r="G26" s="7" t="inlineStr"/>
      <c r="H26" s="2" t="inlineStr">
        <is>
          <t>SPEC READY</t>
        </is>
      </c>
    </row>
    <row r="27" ht="84" customHeight="1">
      <c r="A27" s="3" t="inlineStr">
        <is>
          <t>B26</t>
        </is>
      </c>
      <c r="B27" s="3" t="inlineStr">
        <is>
          <t>100 nF / 0.1 µF 50 V X7R ceramic capacitor</t>
        </is>
      </c>
      <c r="C27" s="7" t="n"/>
      <c r="D27" s="8" t="n"/>
      <c r="E27" s="10">
        <f>IF(OR(C27="",D27=""),"",C27*D27)</f>
        <v/>
      </c>
      <c r="F27" s="7" t="inlineStr"/>
      <c r="G27" s="7" t="inlineStr"/>
      <c r="H27" s="3" t="inlineStr">
        <is>
          <t>SPEC READY</t>
        </is>
      </c>
    </row>
    <row r="28" ht="84" customHeight="1">
      <c r="A28" s="2" t="inlineStr">
        <is>
          <t>B27</t>
        </is>
      </c>
      <c r="B28" s="2" t="inlineStr">
        <is>
          <t>SPST DC power switch</t>
        </is>
      </c>
      <c r="C28" s="7" t="n"/>
      <c r="D28" s="8" t="n"/>
      <c r="E28" s="9">
        <f>IF(OR(C28="",D28=""),"",C28*D28)</f>
        <v/>
      </c>
      <c r="F28" s="7" t="inlineStr"/>
      <c r="G28" s="7" t="inlineStr"/>
      <c r="H28" s="2" t="inlineStr">
        <is>
          <t>SPEC READY</t>
        </is>
      </c>
    </row>
    <row r="29" ht="84" customHeight="1">
      <c r="A29" s="3" t="inlineStr">
        <is>
          <t>B28</t>
        </is>
      </c>
      <c r="B29" s="3" t="inlineStr">
        <is>
          <t>Inline fuse holder</t>
        </is>
      </c>
      <c r="C29" s="7" t="n"/>
      <c r="D29" s="8" t="n"/>
      <c r="E29" s="10">
        <f>IF(OR(C29="",D29=""),"",C29*D29)</f>
        <v/>
      </c>
      <c r="F29" s="7" t="inlineStr"/>
      <c r="G29" s="7" t="inlineStr"/>
      <c r="H29" s="3" t="inlineStr">
        <is>
          <t>VERIFY FUSE</t>
        </is>
      </c>
    </row>
    <row r="30" ht="84" customHeight="1">
      <c r="A30" s="2" t="inlineStr">
        <is>
          <t>B29</t>
        </is>
      </c>
      <c r="B30" s="2" t="inlineStr">
        <is>
          <t>2 A fuse</t>
        </is>
      </c>
      <c r="C30" s="7" t="n"/>
      <c r="D30" s="8" t="n"/>
      <c r="E30" s="9">
        <f>IF(OR(C30="",D30=""),"",C30*D30)</f>
        <v/>
      </c>
      <c r="F30" s="7" t="inlineStr"/>
      <c r="G30" s="7" t="inlineStr"/>
      <c r="H30" s="2" t="inlineStr">
        <is>
          <t>VERIFY INRUSH</t>
        </is>
      </c>
    </row>
    <row r="31" ht="84" customHeight="1">
      <c r="A31" s="3" t="inlineStr">
        <is>
          <t>B30</t>
        </is>
      </c>
      <c r="B31" s="3" t="inlineStr">
        <is>
          <t>Female DC barrel jack to screw terminal</t>
        </is>
      </c>
      <c r="C31" s="7" t="n"/>
      <c r="D31" s="8" t="n"/>
      <c r="E31" s="10">
        <f>IF(OR(C31="",D31=""),"",C31*D31)</f>
        <v/>
      </c>
      <c r="F31" s="7" t="inlineStr"/>
      <c r="G31" s="7" t="inlineStr"/>
      <c r="H31" s="3" t="inlineStr">
        <is>
          <t>CONDITIONAL PURCHASE</t>
        </is>
      </c>
    </row>
    <row r="32" ht="84" customHeight="1">
      <c r="A32" s="2" t="inlineStr">
        <is>
          <t>B31</t>
        </is>
      </c>
      <c r="B32" s="2" t="inlineStr">
        <is>
          <t>2-position screw terminal blocks</t>
        </is>
      </c>
      <c r="C32" s="7" t="n"/>
      <c r="D32" s="8" t="n"/>
      <c r="E32" s="9">
        <f>IF(OR(C32="",D32=""),"",C32*D32)</f>
        <v/>
      </c>
      <c r="F32" s="7" t="inlineStr"/>
      <c r="G32" s="7" t="inlineStr"/>
      <c r="H32" s="2" t="inlineStr">
        <is>
          <t>LAYOUT CHOICE</t>
        </is>
      </c>
    </row>
    <row r="33" ht="84" customHeight="1">
      <c r="A33" s="3" t="inlineStr">
        <is>
          <t>B32</t>
        </is>
      </c>
      <c r="B33" s="3" t="inlineStr">
        <is>
          <t>Signal wiring / Arduino jumper pigtail harness</t>
        </is>
      </c>
      <c r="C33" s="7" t="n"/>
      <c r="D33" s="8" t="n"/>
      <c r="E33" s="10">
        <f>IF(OR(C33="",D33=""),"",C33*D33)</f>
        <v/>
      </c>
      <c r="F33" s="7" t="inlineStr"/>
      <c r="G33" s="7" t="inlineStr"/>
      <c r="H33" s="3" t="inlineStr">
        <is>
          <t>SPEC READY</t>
        </is>
      </c>
    </row>
    <row r="34" ht="84" customHeight="1">
      <c r="A34" s="2" t="inlineStr">
        <is>
          <t>B33</t>
        </is>
      </c>
      <c r="B34" s="2" t="inlineStr">
        <is>
          <t>Power wiring</t>
        </is>
      </c>
      <c r="C34" s="7" t="n"/>
      <c r="D34" s="8" t="n"/>
      <c r="E34" s="9">
        <f>IF(OR(C34="",D34=""),"",C34*D34)</f>
        <v/>
      </c>
      <c r="F34" s="7" t="inlineStr"/>
      <c r="G34" s="7" t="inlineStr"/>
      <c r="H34" s="2" t="inlineStr">
        <is>
          <t>SPEC READY</t>
        </is>
      </c>
    </row>
    <row r="35" ht="84" customHeight="1">
      <c r="A35" s="3" t="inlineStr">
        <is>
          <t>B34</t>
        </is>
      </c>
      <c r="B35" s="3" t="inlineStr">
        <is>
          <t>Solderable perfboard</t>
        </is>
      </c>
      <c r="C35" s="7" t="n"/>
      <c r="D35" s="8" t="n"/>
      <c r="E35" s="10">
        <f>IF(OR(C35="",D35=""),"",C35*D35)</f>
        <v/>
      </c>
      <c r="F35" s="7" t="inlineStr"/>
      <c r="G35" s="7" t="inlineStr"/>
      <c r="H35" s="3" t="inlineStr">
        <is>
          <t>VERIFY LAYOUT</t>
        </is>
      </c>
    </row>
    <row r="36" ht="84" customHeight="1">
      <c r="A36" s="2" t="inlineStr">
        <is>
          <t>B35</t>
        </is>
      </c>
      <c r="B36" s="2" t="inlineStr">
        <is>
          <t>A4988 carrier pin headers and mating sockets</t>
        </is>
      </c>
      <c r="C36" s="7" t="n"/>
      <c r="D36" s="8" t="n"/>
      <c r="E36" s="9">
        <f>IF(OR(C36="",D36=""),"",C36*D36)</f>
        <v/>
      </c>
      <c r="F36" s="7" t="inlineStr"/>
      <c r="G36" s="7" t="inlineStr"/>
      <c r="H36" s="2" t="inlineStr">
        <is>
          <t>CHECK BUNDLE</t>
        </is>
      </c>
    </row>
    <row r="37" ht="84" customHeight="1">
      <c r="A37" s="3" t="inlineStr">
        <is>
          <t>B36</t>
        </is>
      </c>
      <c r="B37" s="3" t="inlineStr">
        <is>
          <t>Heat-shrink insulation and cable restraints</t>
        </is>
      </c>
      <c r="C37" s="7" t="n"/>
      <c r="D37" s="8" t="n"/>
      <c r="E37" s="10">
        <f>IF(OR(C37="",D37=""),"",C37*D37)</f>
        <v/>
      </c>
      <c r="F37" s="7" t="inlineStr"/>
      <c r="G37" s="7" t="inlineStr"/>
      <c r="H37" s="3" t="inlineStr">
        <is>
          <t>SPEC READY</t>
        </is>
      </c>
    </row>
    <row r="38" ht="84" customHeight="1">
      <c r="A38" s="2" t="inlineStr">
        <is>
          <t>B37</t>
        </is>
      </c>
      <c r="B38" s="2" t="inlineStr">
        <is>
          <t>Uno USB DATA cable</t>
        </is>
      </c>
      <c r="C38" s="7" t="n"/>
      <c r="D38" s="8" t="n"/>
      <c r="E38" s="9">
        <f>IF(OR(C38="",D38=""),"",C38*D38)</f>
        <v/>
      </c>
      <c r="F38" s="7" t="inlineStr"/>
      <c r="G38" s="7" t="inlineStr"/>
      <c r="H38" s="2" t="inlineStr">
        <is>
          <t>CHECK BUNDLE</t>
        </is>
      </c>
    </row>
    <row r="39" ht="84" customHeight="1">
      <c r="A39" s="3" t="inlineStr">
        <is>
          <t>B38</t>
        </is>
      </c>
      <c r="B39" s="3" t="inlineStr">
        <is>
          <t>Clear uncoloured solid polycarbonate coupon</t>
        </is>
      </c>
      <c r="C39" s="7" t="n"/>
      <c r="D39" s="8" t="n"/>
      <c r="E39" s="10">
        <f>IF(OR(C39="",D39=""),"",C39*D39)</f>
        <v/>
      </c>
      <c r="F39" s="7" t="inlineStr"/>
      <c r="G39" s="7" t="inlineStr"/>
      <c r="H39" s="3" t="inlineStr">
        <is>
          <t>VERIFY MATERIAL</t>
        </is>
      </c>
    </row>
    <row r="40" ht="84" customHeight="1">
      <c r="A40" s="2" t="n"/>
      <c r="B40" s="2" t="n"/>
      <c r="C40" s="2" t="n"/>
      <c r="D40" s="9" t="n"/>
      <c r="E40" s="9" t="n"/>
      <c r="F40" s="2" t="n"/>
      <c r="G40" s="2" t="n"/>
      <c r="H40" s="2" t="n"/>
    </row>
    <row r="41" ht="84" customHeight="1">
      <c r="A41" s="3" t="n"/>
      <c r="B41" s="3" t="n"/>
      <c r="C41" s="3" t="n"/>
      <c r="D41" s="10" t="n"/>
      <c r="E41" s="10" t="n"/>
      <c r="F41" s="3" t="n"/>
      <c r="G41" s="3" t="n"/>
      <c r="H41" s="3" t="n"/>
    </row>
    <row r="42" ht="84" customHeight="1">
      <c r="A42" s="2" t="n"/>
      <c r="B42" s="2" t="inlineStr">
        <is>
          <t>All core purchase decisions entered — item subtotal</t>
        </is>
      </c>
      <c r="C42" s="2" t="n"/>
      <c r="D42" s="9" t="n"/>
      <c r="E42" s="9">
        <f>IF(AND(COUNT(C2:C39)=38,COUNT(D2:D39)=38),SUM(E2:E39),"INCOMPLETE")</f>
        <v/>
      </c>
      <c r="F42" s="2" t="n"/>
      <c r="G42" s="2" t="n"/>
      <c r="H42" s="2" t="n"/>
    </row>
    <row r="43" ht="84" customHeight="1">
      <c r="A43" s="3" t="n"/>
      <c r="B43" s="3" t="inlineStr">
        <is>
          <t>Additional tax not already included: enter verified amount or 0</t>
        </is>
      </c>
      <c r="C43" s="3" t="n"/>
      <c r="D43" s="10" t="n"/>
      <c r="E43" s="10" t="n"/>
      <c r="F43" s="3" t="n"/>
      <c r="G43" s="3" t="n"/>
      <c r="H43" s="3" t="n"/>
    </row>
    <row r="44" ht="84" customHeight="1">
      <c r="A44" s="2" t="n"/>
      <c r="B44" s="2" t="inlineStr">
        <is>
          <t>Shipping / delivery: enter verified amount or 0</t>
        </is>
      </c>
      <c r="C44" s="2" t="n"/>
      <c r="D44" s="9" t="n"/>
      <c r="E44" s="9" t="n"/>
      <c r="F44" s="2" t="n"/>
      <c r="G44" s="2" t="n"/>
      <c r="H44" s="2" t="n"/>
    </row>
    <row r="45" ht="84" customHeight="1">
      <c r="A45" s="3" t="n"/>
      <c r="B45" s="3" t="inlineStr">
        <is>
          <t>VERIFIED-INPUT TOTAL (no automatic price verification)</t>
        </is>
      </c>
      <c r="C45" s="3" t="n"/>
      <c r="D45" s="10" t="n"/>
      <c r="E45" s="10">
        <f>IF(AND(ISNUMBER(E42),ISNUMBER(E43),ISNUMBER(E44)),SUM(E42:E44),"INCOMPLETE")</f>
        <v/>
      </c>
      <c r="F45" s="3" t="n"/>
      <c r="G45" s="3" t="n"/>
      <c r="H45" s="3" t="n"/>
    </row>
    <row r="46" ht="84" customHeight="1">
      <c r="A46" s="2" t="n"/>
      <c r="B46" s="2" t="n"/>
      <c r="C46" s="2" t="n"/>
      <c r="D46" s="2" t="n"/>
      <c r="E46" s="2" t="n"/>
      <c r="F46" s="2" t="n"/>
      <c r="G46" s="2" t="n"/>
      <c r="H46" s="2" t="n"/>
    </row>
    <row r="47" ht="84" customHeight="1">
      <c r="A47" s="3" t="n"/>
      <c r="B47" s="3" t="inlineStr">
        <is>
          <t>Optional modules are excluded. If purchasing them, add their actual item costs and quantities before treating this as your full order total. Spares/pack quantities can be included in actual order quantities. No estimates prefilled.</t>
        </is>
      </c>
      <c r="C47" s="3" t="n"/>
      <c r="D47" s="3" t="n"/>
      <c r="E47" s="3" t="n"/>
      <c r="F47" s="3" t="n"/>
      <c r="G47" s="3" t="n"/>
      <c r="H47" s="3" t="n"/>
    </row>
  </sheetData>
  <autoFilter ref="A1:H39"/>
  <dataValidations count="2">
    <dataValidation sqref="C2:C39" showDropDown="0" showInputMessage="0" showErrorMessage="1" allowBlank="1" errorTitle="Nonnegative amount required" error="Enter a quantity or price &gt;= 0." type="decimal" operator="greaterThanOrEqual">
      <formula1>0</formula1>
    </dataValidation>
    <dataValidation sqref="D2:D39" showDropDown="0" showInputMessage="0" showErrorMessage="1" allowBlank="1" errorTitle="Nonnegative amount required" error="Enter a quantity or price &gt;= 0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2026-10-18T07:14:43Z</dcterms:created>
  <dcterms:modified xmlns:dcterms="http://purl.org/dc/terms/" xmlns:xsi="http://www.w3.org/2001/XMLSchema-instance" xsi:type="dcterms:W3CDTF">2026-10-18T07:14:43Z</dcterms:modified>
</cp:coreProperties>
</file>