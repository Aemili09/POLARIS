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ll items and searches" sheetId="2" state="visible" r:id="rId2"/>
    <sheet xmlns:r="http://schemas.openxmlformats.org/officeDocument/2006/relationships" name="Enter actual quotes" sheetId="3" state="visible" r:id="rId3"/>
  </sheets>
  <definedNames>
    <definedName name="_xlnm._FilterDatabase" localSheetId="1" hidden="1">'All items and searches'!$A$1:$K$39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font>
  </fonts>
  <fills count="4">
    <fill>
      <patternFill/>
    </fill>
    <fill>
      <patternFill patternType="gray125"/>
    </fill>
    <fill>
      <patternFill patternType="solid">
        <fgColor rgb="0017324D"/>
      </patternFill>
    </fill>
    <fill>
      <patternFill patternType="solid">
        <fgColor rgb="00EEF4F7"/>
      </patternFill>
    </fill>
  </fills>
  <borders count="1">
    <border>
      <left/>
      <right/>
      <top/>
      <bottom/>
      <diagonal/>
    </border>
  </borders>
  <cellStyleXfs count="2">
    <xf numFmtId="0" fontId="0" fillId="0" borderId="0"/>
    <xf numFmtId="0" fontId="1" fillId="0" borderId="0"/>
  </cellStyleXfs>
  <cellXfs count="6">
    <xf numFmtId="0" fontId="0" fillId="0" borderId="0" pivotButton="0" quotePrefix="0" xfId="0"/>
    <xf numFmtId="0" fontId="2"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1">
      <alignment vertical="top" wrapText="1"/>
    </xf>
    <xf numFmtId="0" fontId="1"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oogle.com/search?q=site%3Aelectronicscomp.com+Uno+R3+compatible+ATmega328P%2C+5V%2C+16MHz" TargetMode="External" Id="rId1"/><Relationship Type="http://schemas.openxmlformats.org/officeDocument/2006/relationships/hyperlink" Target="https://www.google.com/search?q=site%3Arobocraze.com+Uno+R3+compatible+ATmega328P%2C+5V%2C+16MHz" TargetMode="External" Id="rId2"/><Relationship Type="http://schemas.openxmlformats.org/officeDocument/2006/relationships/hyperlink" Target="https://www.google.com/search?q=site%3Aquartzcomponents.com+Uno+R3+compatible+ATmega328P%2C+5V%2C+16MHz" TargetMode="External" Id="rId3"/><Relationship Type="http://schemas.openxmlformats.org/officeDocument/2006/relationships/hyperlink" Target="https://www.google.com/search?q=site%3Aflyrobo.in+Uno+R3+compatible+ATmega328P%2C+5V%2C+16MHz" TargetMode="External" Id="rId4"/><Relationship Type="http://schemas.openxmlformats.org/officeDocument/2006/relationships/hyperlink" Target="https://www.google.com/search?q=site%3Aevelta.com+Uno+R3+compatible+ATmega328P%2C+5V%2C+16MHz" TargetMode="External" Id="rId5"/><Relationship Type="http://schemas.openxmlformats.org/officeDocument/2006/relationships/hyperlink" Target="https://www.google.com/search?q=site%3Aelectronicscomp.com+A4988+carrier+with+heatsink" TargetMode="External" Id="rId6"/><Relationship Type="http://schemas.openxmlformats.org/officeDocument/2006/relationships/hyperlink" Target="https://www.google.com/search?q=site%3Arobocraze.com+A4988+carrier+with+heatsink" TargetMode="External" Id="rId7"/><Relationship Type="http://schemas.openxmlformats.org/officeDocument/2006/relationships/hyperlink" Target="https://www.google.com/search?q=site%3Aquartzcomponents.com+A4988+carrier+with+heatsink" TargetMode="External" Id="rId8"/><Relationship Type="http://schemas.openxmlformats.org/officeDocument/2006/relationships/hyperlink" Target="https://www.google.com/search?q=site%3Aflyrobo.in+A4988+carrier+with+heatsink" TargetMode="External" Id="rId9"/><Relationship Type="http://schemas.openxmlformats.org/officeDocument/2006/relationships/hyperlink" Target="https://www.google.com/search?q=site%3Aevelta.com+A4988+carrier+with+heatsink" TargetMode="External" Id="rId10"/><Relationship Type="http://schemas.openxmlformats.org/officeDocument/2006/relationships/hyperlink" Target="https://www.google.com/search?q=site%3Aelectronicscomp.com+17HS4401+NEMA17+bipolar%2C+1.8+degree%2C+4+wire" TargetMode="External" Id="rId11"/><Relationship Type="http://schemas.openxmlformats.org/officeDocument/2006/relationships/hyperlink" Target="https://www.google.com/search?q=site%3Arobocraze.com+17HS4401+NEMA17+bipolar%2C+1.8+degree%2C+4+wire" TargetMode="External" Id="rId12"/><Relationship Type="http://schemas.openxmlformats.org/officeDocument/2006/relationships/hyperlink" Target="https://www.google.com/search?q=site%3Aquartzcomponents.com+17HS4401+NEMA17+bipolar%2C+1.8+degree%2C+4+wire" TargetMode="External" Id="rId13"/><Relationship Type="http://schemas.openxmlformats.org/officeDocument/2006/relationships/hyperlink" Target="https://www.google.com/search?q=site%3Aflyrobo.in+17HS4401+NEMA17+bipolar%2C+1.8+degree%2C+4+wire" TargetMode="External" Id="rId14"/><Relationship Type="http://schemas.openxmlformats.org/officeDocument/2006/relationships/hyperlink" Target="https://www.google.com/search?q=site%3Aevelta.com+17HS4401+NEMA17+bipolar%2C+1.8+degree%2C+4+wire" TargetMode="External" Id="rId15"/><Relationship Type="http://schemas.openxmlformats.org/officeDocument/2006/relationships/hyperlink" Target="https://www.google.com/search?q=site%3Aelectronicscomp.com+Logitech+C270+HD+USB+webcam+720p" TargetMode="External" Id="rId16"/><Relationship Type="http://schemas.openxmlformats.org/officeDocument/2006/relationships/hyperlink" Target="https://www.google.com/search?q=site%3Arobocraze.com+Logitech+C270+HD+USB+webcam+720p" TargetMode="External" Id="rId17"/><Relationship Type="http://schemas.openxmlformats.org/officeDocument/2006/relationships/hyperlink" Target="https://www.google.com/search?q=site%3Aquartzcomponents.com+Logitech+C270+HD+USB+webcam+720p" TargetMode="External" Id="rId18"/><Relationship Type="http://schemas.openxmlformats.org/officeDocument/2006/relationships/hyperlink" Target="https://www.google.com/search?q=site%3Aflyrobo.in+Logitech+C270+HD+USB+webcam+720p" TargetMode="External" Id="rId19"/><Relationship Type="http://schemas.openxmlformats.org/officeDocument/2006/relationships/hyperlink" Target="https://www.google.com/search?q=site%3Aevelta.com+Logitech+C270+HD+USB+webcam+720p" TargetMode="External" Id="rId20"/><Relationship Type="http://schemas.openxmlformats.org/officeDocument/2006/relationships/hyperlink" Target="https://www.google.com/search?q=site%3Aelectronicscomp.com+Isolated+regulated+12V+DC+3A+enclosed+adapter" TargetMode="External" Id="rId21"/><Relationship Type="http://schemas.openxmlformats.org/officeDocument/2006/relationships/hyperlink" Target="https://www.google.com/search?q=site%3Arobocraze.com+Isolated+regulated+12V+DC+3A+enclosed+adapter" TargetMode="External" Id="rId22"/><Relationship Type="http://schemas.openxmlformats.org/officeDocument/2006/relationships/hyperlink" Target="https://www.google.com/search?q=site%3Aquartzcomponents.com+Isolated+regulated+12V+DC+3A+enclosed+adapter" TargetMode="External" Id="rId23"/><Relationship Type="http://schemas.openxmlformats.org/officeDocument/2006/relationships/hyperlink" Target="https://www.google.com/search?q=site%3Aflyrobo.in+Isolated+regulated+12V+DC+3A+enclosed+adapter" TargetMode="External" Id="rId24"/><Relationship Type="http://schemas.openxmlformats.org/officeDocument/2006/relationships/hyperlink" Target="https://www.google.com/search?q=site%3Aevelta.com+Isolated+regulated+12V+DC+3A+enclosed+adapter" TargetMode="External" Id="rId25"/><Relationship Type="http://schemas.openxmlformats.org/officeDocument/2006/relationships/hyperlink" Target="https://www.google.com/search?q=site%3Aelectronicscomp.com+FQP30N06L+logic-level+N-MOSFET+TO-220" TargetMode="External" Id="rId26"/><Relationship Type="http://schemas.openxmlformats.org/officeDocument/2006/relationships/hyperlink" Target="https://www.google.com/search?q=site%3Arobocraze.com+FQP30N06L+logic-level+N-MOSFET+TO-220" TargetMode="External" Id="rId27"/><Relationship Type="http://schemas.openxmlformats.org/officeDocument/2006/relationships/hyperlink" Target="https://www.google.com/search?q=site%3Aquartzcomponents.com+FQP30N06L+logic-level+N-MOSFET+TO-220" TargetMode="External" Id="rId28"/><Relationship Type="http://schemas.openxmlformats.org/officeDocument/2006/relationships/hyperlink" Target="https://www.google.com/search?q=site%3Aflyrobo.in+FQP30N06L+logic-level+N-MOSFET+TO-220" TargetMode="External" Id="rId29"/><Relationship Type="http://schemas.openxmlformats.org/officeDocument/2006/relationships/hyperlink" Target="https://www.google.com/search?q=site%3Aevelta.com+FQP30N06L+logic-level+N-MOSFET+TO-220" TargetMode="External" Id="rId30"/><Relationship Type="http://schemas.openxmlformats.org/officeDocument/2006/relationships/hyperlink" Target="https://www.google.com/search?q=site%3Aelectronicscomp.com+Omron+SS-5GL+SPDT+lever+microswitch" TargetMode="External" Id="rId31"/><Relationship Type="http://schemas.openxmlformats.org/officeDocument/2006/relationships/hyperlink" Target="https://www.google.com/search?q=site%3Arobocraze.com+Omron+SS-5GL+SPDT+lever+microswitch" TargetMode="External" Id="rId32"/><Relationship Type="http://schemas.openxmlformats.org/officeDocument/2006/relationships/hyperlink" Target="https://www.google.com/search?q=site%3Aquartzcomponents.com+Omron+SS-5GL+SPDT+lever+microswitch" TargetMode="External" Id="rId33"/><Relationship Type="http://schemas.openxmlformats.org/officeDocument/2006/relationships/hyperlink" Target="https://www.google.com/search?q=site%3Aflyrobo.in+Omron+SS-5GL+SPDT+lever+microswitch" TargetMode="External" Id="rId34"/><Relationship Type="http://schemas.openxmlformats.org/officeDocument/2006/relationships/hyperlink" Target="https://www.google.com/search?q=site%3Aevelta.com+Omron+SS-5GL+SPDT+lever+microswitch" TargetMode="External" Id="rId35"/><Relationship Type="http://schemas.openxmlformats.org/officeDocument/2006/relationships/hyperlink" Target="https://www.google.com/search?q=site%3Aelectronicscomp.com+Visible+linear+polarizing+film+150+x+150+mm+non-adhesive" TargetMode="External" Id="rId36"/><Relationship Type="http://schemas.openxmlformats.org/officeDocument/2006/relationships/hyperlink" Target="https://www.google.com/search?q=site%3Arobocraze.com+Visible+linear+polarizing+film+150+x+150+mm+non-adhesive" TargetMode="External" Id="rId37"/><Relationship Type="http://schemas.openxmlformats.org/officeDocument/2006/relationships/hyperlink" Target="https://www.google.com/search?q=site%3Aquartzcomponents.com+Visible+linear+polarizing+film+150+x+150+mm+non-adhesive" TargetMode="External" Id="rId38"/><Relationship Type="http://schemas.openxmlformats.org/officeDocument/2006/relationships/hyperlink" Target="https://www.google.com/search?q=site%3Aflyrobo.in+Visible+linear+polarizing+film+150+x+150+mm+non-adhesive" TargetMode="External" Id="rId39"/><Relationship Type="http://schemas.openxmlformats.org/officeDocument/2006/relationships/hyperlink" Target="https://www.google.com/search?q=site%3Aevelta.com+Visible+linear+polarizing+film+150+x+150+mm+non-adhesive" TargetMode="External" Id="rId40"/><Relationship Type="http://schemas.openxmlformats.org/officeDocument/2006/relationships/hyperlink" Target="https://www.google.com/search?q=site%3Aelectronicscomp.com+12V+white+LED+backlight+panel+%3E%3D100+x+50+mm%2C+%3C%3D0.5A" TargetMode="External" Id="rId41"/><Relationship Type="http://schemas.openxmlformats.org/officeDocument/2006/relationships/hyperlink" Target="https://www.google.com/search?q=site%3Arobocraze.com+12V+white+LED+backlight+panel+%3E%3D100+x+50+mm%2C+%3C%3D0.5A" TargetMode="External" Id="rId42"/><Relationship Type="http://schemas.openxmlformats.org/officeDocument/2006/relationships/hyperlink" Target="https://www.google.com/search?q=site%3Aquartzcomponents.com+12V+white+LED+backlight+panel+%3E%3D100+x+50+mm%2C+%3C%3D0.5A" TargetMode="External" Id="rId43"/><Relationship Type="http://schemas.openxmlformats.org/officeDocument/2006/relationships/hyperlink" Target="https://www.google.com/search?q=site%3Aflyrobo.in+12V+white+LED+backlight+panel+%3E%3D100+x+50+mm%2C+%3C%3D0.5A" TargetMode="External" Id="rId44"/><Relationship Type="http://schemas.openxmlformats.org/officeDocument/2006/relationships/hyperlink" Target="https://www.google.com/search?q=site%3Aevelta.com+12V+white+LED+backlight+panel+%3E%3D100+x+50+mm%2C+%3C%3D0.5A" TargetMode="External" Id="rId45"/><Relationship Type="http://schemas.openxmlformats.org/officeDocument/2006/relationships/hyperlink" Target="https://www.google.com/search?q=site%3Aelectronicscomp.com+Opal+acrylic+diffuser+approximately+150+x+100+x+1-2+mm" TargetMode="External" Id="rId46"/><Relationship Type="http://schemas.openxmlformats.org/officeDocument/2006/relationships/hyperlink" Target="https://www.google.com/search?q=site%3Arobocraze.com+Opal+acrylic+diffuser+approximately+150+x+100+x+1-2+mm" TargetMode="External" Id="rId47"/><Relationship Type="http://schemas.openxmlformats.org/officeDocument/2006/relationships/hyperlink" Target="https://www.google.com/search?q=site%3Aquartzcomponents.com+Opal+acrylic+diffuser+approximately+150+x+100+x+1-2+mm" TargetMode="External" Id="rId48"/><Relationship Type="http://schemas.openxmlformats.org/officeDocument/2006/relationships/hyperlink" Target="https://www.google.com/search?q=site%3Aflyrobo.in+Opal+acrylic+diffuser+approximately+150+x+100+x+1-2+mm" TargetMode="External" Id="rId49"/><Relationship Type="http://schemas.openxmlformats.org/officeDocument/2006/relationships/hyperlink" Target="https://www.google.com/search?q=site%3Aevelta.com+Opal+acrylic+diffuser+approximately+150+x+100+x+1-2+mm" TargetMode="External" Id="rId50"/><Relationship Type="http://schemas.openxmlformats.org/officeDocument/2006/relationships/hyperlink" Target="https://www.google.com/search?q=site%3Aelectronicscomp.com+Fixed+polarizing-film+holder" TargetMode="External" Id="rId51"/><Relationship Type="http://schemas.openxmlformats.org/officeDocument/2006/relationships/hyperlink" Target="https://www.google.com/search?q=site%3Arobocraze.com+Fixed+polarizing-film+holder" TargetMode="External" Id="rId52"/><Relationship Type="http://schemas.openxmlformats.org/officeDocument/2006/relationships/hyperlink" Target="https://www.google.com/search?q=site%3Aquartzcomponents.com+Fixed+polarizing-film+holder" TargetMode="External" Id="rId53"/><Relationship Type="http://schemas.openxmlformats.org/officeDocument/2006/relationships/hyperlink" Target="https://www.google.com/search?q=site%3Aflyrobo.in+Fixed+polarizing-film+holder" TargetMode="External" Id="rId54"/><Relationship Type="http://schemas.openxmlformats.org/officeDocument/2006/relationships/hyperlink" Target="https://www.google.com/search?q=site%3Aevelta.com+Fixed+polarizing-film+holder" TargetMode="External" Id="rId55"/><Relationship Type="http://schemas.openxmlformats.org/officeDocument/2006/relationships/hyperlink" Target="https://www.google.com/search?q=site%3Aelectronicscomp.com+Adjustable+webcam+mount+compatible+with+C270" TargetMode="External" Id="rId56"/><Relationship Type="http://schemas.openxmlformats.org/officeDocument/2006/relationships/hyperlink" Target="https://www.google.com/search?q=site%3Arobocraze.com+Adjustable+webcam+mount+compatible+with+C270" TargetMode="External" Id="rId57"/><Relationship Type="http://schemas.openxmlformats.org/officeDocument/2006/relationships/hyperlink" Target="https://www.google.com/search?q=site%3Aquartzcomponents.com+Adjustable+webcam+mount+compatible+with+C270" TargetMode="External" Id="rId58"/><Relationship Type="http://schemas.openxmlformats.org/officeDocument/2006/relationships/hyperlink" Target="https://www.google.com/search?q=site%3Aflyrobo.in+Adjustable+webcam+mount+compatible+with+C270" TargetMode="External" Id="rId59"/><Relationship Type="http://schemas.openxmlformats.org/officeDocument/2006/relationships/hyperlink" Target="https://www.google.com/search?q=site%3Aevelta.com+Adjustable+webcam+mount+compatible+with+C270" TargetMode="External" Id="rId60"/><Relationship Type="http://schemas.openxmlformats.org/officeDocument/2006/relationships/hyperlink" Target="https://www.google.com/search?q=site%3Aelectronicscomp.com+Matte+black+enclosure+panels+%2F+foam+board" TargetMode="External" Id="rId61"/><Relationship Type="http://schemas.openxmlformats.org/officeDocument/2006/relationships/hyperlink" Target="https://www.google.com/search?q=site%3Arobocraze.com+Matte+black+enclosure+panels+%2F+foam+board" TargetMode="External" Id="rId62"/><Relationship Type="http://schemas.openxmlformats.org/officeDocument/2006/relationships/hyperlink" Target="https://www.google.com/search?q=site%3Aquartzcomponents.com+Matte+black+enclosure+panels+%2F+foam+board" TargetMode="External" Id="rId63"/><Relationship Type="http://schemas.openxmlformats.org/officeDocument/2006/relationships/hyperlink" Target="https://www.google.com/search?q=site%3Aflyrobo.in+Matte+black+enclosure+panels+%2F+foam+board" TargetMode="External" Id="rId64"/><Relationship Type="http://schemas.openxmlformats.org/officeDocument/2006/relationships/hyperlink" Target="https://www.google.com/search?q=site%3Aevelta.com+Matte+black+enclosure+panels+%2F+foam+board" TargetMode="External" Id="rId65"/><Relationship Type="http://schemas.openxmlformats.org/officeDocument/2006/relationships/hyperlink" Target="https://www.google.com/search?q=site%3Aelectronicscomp.com+GT2+20T+pulley+2mm+pitch%2C+5mm+bore%2C+6mm+belt+width" TargetMode="External" Id="rId66"/><Relationship Type="http://schemas.openxmlformats.org/officeDocument/2006/relationships/hyperlink" Target="https://www.google.com/search?q=site%3Arobocraze.com+GT2+20T+pulley+2mm+pitch%2C+5mm+bore%2C+6mm+belt+width" TargetMode="External" Id="rId67"/><Relationship Type="http://schemas.openxmlformats.org/officeDocument/2006/relationships/hyperlink" Target="https://www.google.com/search?q=site%3Aquartzcomponents.com+GT2+20T+pulley+2mm+pitch%2C+5mm+bore%2C+6mm+belt+width" TargetMode="External" Id="rId68"/><Relationship Type="http://schemas.openxmlformats.org/officeDocument/2006/relationships/hyperlink" Target="https://www.google.com/search?q=site%3Aflyrobo.in+GT2+20T+pulley+2mm+pitch%2C+5mm+bore%2C+6mm+belt+width" TargetMode="External" Id="rId69"/><Relationship Type="http://schemas.openxmlformats.org/officeDocument/2006/relationships/hyperlink" Target="https://www.google.com/search?q=site%3Aevelta.com+GT2+20T+pulley+2mm+pitch%2C+5mm+bore%2C+6mm+belt+width" TargetMode="External" Id="rId70"/><Relationship Type="http://schemas.openxmlformats.org/officeDocument/2006/relationships/hyperlink" Target="https://www.google.com/search?q=site%3Aelectronicscomp.com+CUSTOM+GT2+80T+annular+analyzer+pulley+%2F+holder" TargetMode="External" Id="rId71"/><Relationship Type="http://schemas.openxmlformats.org/officeDocument/2006/relationships/hyperlink" Target="https://www.google.com/search?q=site%3Arobocraze.com+CUSTOM+GT2+80T+annular+analyzer+pulley+%2F+holder" TargetMode="External" Id="rId72"/><Relationship Type="http://schemas.openxmlformats.org/officeDocument/2006/relationships/hyperlink" Target="https://www.google.com/search?q=site%3Aquartzcomponents.com+CUSTOM+GT2+80T+annular+analyzer+pulley+%2F+holder" TargetMode="External" Id="rId73"/><Relationship Type="http://schemas.openxmlformats.org/officeDocument/2006/relationships/hyperlink" Target="https://www.google.com/search?q=site%3Aflyrobo.in+CUSTOM+GT2+80T+annular+analyzer+pulley+%2F+holder" TargetMode="External" Id="rId74"/><Relationship Type="http://schemas.openxmlformats.org/officeDocument/2006/relationships/hyperlink" Target="https://www.google.com/search?q=site%3Aevelta.com+CUSTOM+GT2+80T+annular+analyzer+pulley+%2F+holder" TargetMode="External" Id="rId75"/><Relationship Type="http://schemas.openxmlformats.org/officeDocument/2006/relationships/hyperlink" Target="https://www.google.com/search?q=site%3Aelectronicscomp.com+GT2+closed-loop+belt+2mm+pitch+6mm+wide" TargetMode="External" Id="rId76"/><Relationship Type="http://schemas.openxmlformats.org/officeDocument/2006/relationships/hyperlink" Target="https://www.google.com/search?q=site%3Arobocraze.com+GT2+closed-loop+belt+2mm+pitch+6mm+wide" TargetMode="External" Id="rId77"/><Relationship Type="http://schemas.openxmlformats.org/officeDocument/2006/relationships/hyperlink" Target="https://www.google.com/search?q=site%3Aquartzcomponents.com+GT2+closed-loop+belt+2mm+pitch+6mm+wide" TargetMode="External" Id="rId78"/><Relationship Type="http://schemas.openxmlformats.org/officeDocument/2006/relationships/hyperlink" Target="https://www.google.com/search?q=site%3Aflyrobo.in+GT2+closed-loop+belt+2mm+pitch+6mm+wide" TargetMode="External" Id="rId79"/><Relationship Type="http://schemas.openxmlformats.org/officeDocument/2006/relationships/hyperlink" Target="https://www.google.com/search?q=site%3Aevelta.com+GT2+closed-loop+belt+2mm+pitch+6mm+wide" TargetMode="External" Id="rId80"/><Relationship Type="http://schemas.openxmlformats.org/officeDocument/2006/relationships/hyperlink" Target="https://www.google.com/search?q=site%3Aelectronicscomp.com+Analyzer+bearing+%2F+roller+support+assembly" TargetMode="External" Id="rId81"/><Relationship Type="http://schemas.openxmlformats.org/officeDocument/2006/relationships/hyperlink" Target="https://www.google.com/search?q=site%3Arobocraze.com+Analyzer+bearing+%2F+roller+support+assembly" TargetMode="External" Id="rId82"/><Relationship Type="http://schemas.openxmlformats.org/officeDocument/2006/relationships/hyperlink" Target="https://www.google.com/search?q=site%3Aquartzcomponents.com+Analyzer+bearing+%2F+roller+support+assembly" TargetMode="External" Id="rId83"/><Relationship Type="http://schemas.openxmlformats.org/officeDocument/2006/relationships/hyperlink" Target="https://www.google.com/search?q=site%3Aflyrobo.in+Analyzer+bearing+%2F+roller+support+assembly" TargetMode="External" Id="rId84"/><Relationship Type="http://schemas.openxmlformats.org/officeDocument/2006/relationships/hyperlink" Target="https://www.google.com/search?q=site%3Aevelta.com+Analyzer+bearing+%2F+roller+support+assembly" TargetMode="External" Id="rId85"/><Relationship Type="http://schemas.openxmlformats.org/officeDocument/2006/relationships/hyperlink" Target="https://www.google.com/search?q=site%3Aelectronicscomp.com+NEMA17+L+mounting+bracket" TargetMode="External" Id="rId86"/><Relationship Type="http://schemas.openxmlformats.org/officeDocument/2006/relationships/hyperlink" Target="https://www.google.com/search?q=site%3Arobocraze.com+NEMA17+L+mounting+bracket" TargetMode="External" Id="rId87"/><Relationship Type="http://schemas.openxmlformats.org/officeDocument/2006/relationships/hyperlink" Target="https://www.google.com/search?q=site%3Aquartzcomponents.com+NEMA17+L+mounting+bracket" TargetMode="External" Id="rId88"/><Relationship Type="http://schemas.openxmlformats.org/officeDocument/2006/relationships/hyperlink" Target="https://www.google.com/search?q=site%3Aflyrobo.in+NEMA17+L+mounting+bracket" TargetMode="External" Id="rId89"/><Relationship Type="http://schemas.openxmlformats.org/officeDocument/2006/relationships/hyperlink" Target="https://www.google.com/search?q=site%3Aevelta.com+NEMA17+L+mounting+bracket" TargetMode="External" Id="rId90"/><Relationship Type="http://schemas.openxmlformats.org/officeDocument/2006/relationships/hyperlink" Target="https://www.google.com/search?q=site%3Aelectronicscomp.com+Rigid+base+plate+approximately+300+x+200+mm" TargetMode="External" Id="rId91"/><Relationship Type="http://schemas.openxmlformats.org/officeDocument/2006/relationships/hyperlink" Target="https://www.google.com/search?q=site%3Arobocraze.com+Rigid+base+plate+approximately+300+x+200+mm" TargetMode="External" Id="rId92"/><Relationship Type="http://schemas.openxmlformats.org/officeDocument/2006/relationships/hyperlink" Target="https://www.google.com/search?q=site%3Aquartzcomponents.com+Rigid+base+plate+approximately+300+x+200+mm" TargetMode="External" Id="rId93"/><Relationship Type="http://schemas.openxmlformats.org/officeDocument/2006/relationships/hyperlink" Target="https://www.google.com/search?q=site%3Aflyrobo.in+Rigid+base+plate+approximately+300+x+200+mm" TargetMode="External" Id="rId94"/><Relationship Type="http://schemas.openxmlformats.org/officeDocument/2006/relationships/hyperlink" Target="https://www.google.com/search?q=site%3Aevelta.com+Rigid+base+plate+approximately+300+x+200+mm" TargetMode="External" Id="rId95"/><Relationship Type="http://schemas.openxmlformats.org/officeDocument/2006/relationships/hyperlink" Target="https://www.google.com/search?q=site%3Aelectronicscomp.com+M3%2FM4+screws+nuts+washers+spacers+assortment" TargetMode="External" Id="rId96"/><Relationship Type="http://schemas.openxmlformats.org/officeDocument/2006/relationships/hyperlink" Target="https://www.google.com/search?q=site%3Arobocraze.com+M3%2FM4+screws+nuts+washers+spacers+assortment" TargetMode="External" Id="rId97"/><Relationship Type="http://schemas.openxmlformats.org/officeDocument/2006/relationships/hyperlink" Target="https://www.google.com/search?q=site%3Aquartzcomponents.com+M3%2FM4+screws+nuts+washers+spacers+assortment" TargetMode="External" Id="rId98"/><Relationship Type="http://schemas.openxmlformats.org/officeDocument/2006/relationships/hyperlink" Target="https://www.google.com/search?q=site%3Aflyrobo.in+M3%2FM4+screws+nuts+washers+spacers+assortment" TargetMode="External" Id="rId99"/><Relationship Type="http://schemas.openxmlformats.org/officeDocument/2006/relationships/hyperlink" Target="https://www.google.com/search?q=site%3Aevelta.com+M3%2FM4+screws+nuts+washers+spacers+assortment" TargetMode="External" Id="rId100"/><Relationship Type="http://schemas.openxmlformats.org/officeDocument/2006/relationships/hyperlink" Target="https://www.google.com/search?q=site%3Aelectronicscomp.com+10+kohm+1%2F4W+1%25+metal-film+resistor" TargetMode="External" Id="rId101"/><Relationship Type="http://schemas.openxmlformats.org/officeDocument/2006/relationships/hyperlink" Target="https://www.google.com/search?q=site%3Arobocraze.com+10+kohm+1%2F4W+1%25+metal-film+resistor" TargetMode="External" Id="rId102"/><Relationship Type="http://schemas.openxmlformats.org/officeDocument/2006/relationships/hyperlink" Target="https://www.google.com/search?q=site%3Aquartzcomponents.com+10+kohm+1%2F4W+1%25+metal-film+resistor" TargetMode="External" Id="rId103"/><Relationship Type="http://schemas.openxmlformats.org/officeDocument/2006/relationships/hyperlink" Target="https://www.google.com/search?q=site%3Aflyrobo.in+10+kohm+1%2F4W+1%25+metal-film+resistor" TargetMode="External" Id="rId104"/><Relationship Type="http://schemas.openxmlformats.org/officeDocument/2006/relationships/hyperlink" Target="https://www.google.com/search?q=site%3Aevelta.com+10+kohm+1%2F4W+1%25+metal-film+resistor" TargetMode="External" Id="rId105"/><Relationship Type="http://schemas.openxmlformats.org/officeDocument/2006/relationships/hyperlink" Target="https://www.google.com/search?q=site%3Aelectronicscomp.com+4.7+kohm+1%2F4W+1%25+metal-film+resistor" TargetMode="External" Id="rId106"/><Relationship Type="http://schemas.openxmlformats.org/officeDocument/2006/relationships/hyperlink" Target="https://www.google.com/search?q=site%3Arobocraze.com+4.7+kohm+1%2F4W+1%25+metal-film+resistor" TargetMode="External" Id="rId107"/><Relationship Type="http://schemas.openxmlformats.org/officeDocument/2006/relationships/hyperlink" Target="https://www.google.com/search?q=site%3Aquartzcomponents.com+4.7+kohm+1%2F4W+1%25+metal-film+resistor" TargetMode="External" Id="rId108"/><Relationship Type="http://schemas.openxmlformats.org/officeDocument/2006/relationships/hyperlink" Target="https://www.google.com/search?q=site%3Aflyrobo.in+4.7+kohm+1%2F4W+1%25+metal-film+resistor" TargetMode="External" Id="rId109"/><Relationship Type="http://schemas.openxmlformats.org/officeDocument/2006/relationships/hyperlink" Target="https://www.google.com/search?q=site%3Aevelta.com+4.7+kohm+1%2F4W+1%25+metal-film+resistor" TargetMode="External" Id="rId110"/><Relationship Type="http://schemas.openxmlformats.org/officeDocument/2006/relationships/hyperlink" Target="https://www.google.com/search?q=site%3Aelectronicscomp.com+100+ohm+1%2F4W+1%25+metal-film+resistor" TargetMode="External" Id="rId111"/><Relationship Type="http://schemas.openxmlformats.org/officeDocument/2006/relationships/hyperlink" Target="https://www.google.com/search?q=site%3Arobocraze.com+100+ohm+1%2F4W+1%25+metal-film+resistor" TargetMode="External" Id="rId112"/><Relationship Type="http://schemas.openxmlformats.org/officeDocument/2006/relationships/hyperlink" Target="https://www.google.com/search?q=site%3Aquartzcomponents.com+100+ohm+1%2F4W+1%25+metal-film+resistor" TargetMode="External" Id="rId113"/><Relationship Type="http://schemas.openxmlformats.org/officeDocument/2006/relationships/hyperlink" Target="https://www.google.com/search?q=site%3Aflyrobo.in+100+ohm+1%2F4W+1%25+metal-film+resistor" TargetMode="External" Id="rId114"/><Relationship Type="http://schemas.openxmlformats.org/officeDocument/2006/relationships/hyperlink" Target="https://www.google.com/search?q=site%3Aevelta.com+100+ohm+1%2F4W+1%25+metal-film+resistor" TargetMode="External" Id="rId115"/><Relationship Type="http://schemas.openxmlformats.org/officeDocument/2006/relationships/hyperlink" Target="https://www.google.com/search?q=site%3Aelectronicscomp.com+100uF+35V+radial+electrolytic+capacitor+105C" TargetMode="External" Id="rId116"/><Relationship Type="http://schemas.openxmlformats.org/officeDocument/2006/relationships/hyperlink" Target="https://www.google.com/search?q=site%3Arobocraze.com+100uF+35V+radial+electrolytic+capacitor+105C" TargetMode="External" Id="rId117"/><Relationship Type="http://schemas.openxmlformats.org/officeDocument/2006/relationships/hyperlink" Target="https://www.google.com/search?q=site%3Aquartzcomponents.com+100uF+35V+radial+electrolytic+capacitor+105C" TargetMode="External" Id="rId118"/><Relationship Type="http://schemas.openxmlformats.org/officeDocument/2006/relationships/hyperlink" Target="https://www.google.com/search?q=site%3Aflyrobo.in+100uF+35V+radial+electrolytic+capacitor+105C" TargetMode="External" Id="rId119"/><Relationship Type="http://schemas.openxmlformats.org/officeDocument/2006/relationships/hyperlink" Target="https://www.google.com/search?q=site%3Aevelta.com+100uF+35V+radial+electrolytic+capacitor+105C" TargetMode="External" Id="rId120"/><Relationship Type="http://schemas.openxmlformats.org/officeDocument/2006/relationships/hyperlink" Target="https://www.google.com/search?q=site%3Aelectronicscomp.com+100nF+50V+X7R+ceramic+capacitor" TargetMode="External" Id="rId121"/><Relationship Type="http://schemas.openxmlformats.org/officeDocument/2006/relationships/hyperlink" Target="https://www.google.com/search?q=site%3Arobocraze.com+100nF+50V+X7R+ceramic+capacitor" TargetMode="External" Id="rId122"/><Relationship Type="http://schemas.openxmlformats.org/officeDocument/2006/relationships/hyperlink" Target="https://www.google.com/search?q=site%3Aquartzcomponents.com+100nF+50V+X7R+ceramic+capacitor" TargetMode="External" Id="rId123"/><Relationship Type="http://schemas.openxmlformats.org/officeDocument/2006/relationships/hyperlink" Target="https://www.google.com/search?q=site%3Aflyrobo.in+100nF+50V+X7R+ceramic+capacitor" TargetMode="External" Id="rId124"/><Relationship Type="http://schemas.openxmlformats.org/officeDocument/2006/relationships/hyperlink" Target="https://www.google.com/search?q=site%3Aevelta.com+100nF+50V+X7R+ceramic+capacitor" TargetMode="External" Id="rId125"/><Relationship Type="http://schemas.openxmlformats.org/officeDocument/2006/relationships/hyperlink" Target="https://www.google.com/search?q=site%3Aelectronicscomp.com+SPST+power+switch+rated+%3E%3D3A+at+12V+DC" TargetMode="External" Id="rId126"/><Relationship Type="http://schemas.openxmlformats.org/officeDocument/2006/relationships/hyperlink" Target="https://www.google.com/search?q=site%3Arobocraze.com+SPST+power+switch+rated+%3E%3D3A+at+12V+DC" TargetMode="External" Id="rId127"/><Relationship Type="http://schemas.openxmlformats.org/officeDocument/2006/relationships/hyperlink" Target="https://www.google.com/search?q=site%3Aquartzcomponents.com+SPST+power+switch+rated+%3E%3D3A+at+12V+DC" TargetMode="External" Id="rId128"/><Relationship Type="http://schemas.openxmlformats.org/officeDocument/2006/relationships/hyperlink" Target="https://www.google.com/search?q=site%3Aflyrobo.in+SPST+power+switch+rated+%3E%3D3A+at+12V+DC" TargetMode="External" Id="rId129"/><Relationship Type="http://schemas.openxmlformats.org/officeDocument/2006/relationships/hyperlink" Target="https://www.google.com/search?q=site%3Aevelta.com+SPST+power+switch+rated+%3E%3D3A+at+12V+DC" TargetMode="External" Id="rId130"/><Relationship Type="http://schemas.openxmlformats.org/officeDocument/2006/relationships/hyperlink" Target="https://www.google.com/search?q=site%3Aelectronicscomp.com+Inline+fuse+holder" TargetMode="External" Id="rId131"/><Relationship Type="http://schemas.openxmlformats.org/officeDocument/2006/relationships/hyperlink" Target="https://www.google.com/search?q=site%3Arobocraze.com+Inline+fuse+holder" TargetMode="External" Id="rId132"/><Relationship Type="http://schemas.openxmlformats.org/officeDocument/2006/relationships/hyperlink" Target="https://www.google.com/search?q=site%3Aquartzcomponents.com+Inline+fuse+holder" TargetMode="External" Id="rId133"/><Relationship Type="http://schemas.openxmlformats.org/officeDocument/2006/relationships/hyperlink" Target="https://www.google.com/search?q=site%3Aflyrobo.in+Inline+fuse+holder" TargetMode="External" Id="rId134"/><Relationship Type="http://schemas.openxmlformats.org/officeDocument/2006/relationships/hyperlink" Target="https://www.google.com/search?q=site%3Aevelta.com+Inline+fuse+holder" TargetMode="External" Id="rId135"/><Relationship Type="http://schemas.openxmlformats.org/officeDocument/2006/relationships/hyperlink" Target="https://www.google.com/search?q=site%3Aelectronicscomp.com+2A+fuse+with+suitable+DC+voltage+rating" TargetMode="External" Id="rId136"/><Relationship Type="http://schemas.openxmlformats.org/officeDocument/2006/relationships/hyperlink" Target="https://www.google.com/search?q=site%3Arobocraze.com+2A+fuse+with+suitable+DC+voltage+rating" TargetMode="External" Id="rId137"/><Relationship Type="http://schemas.openxmlformats.org/officeDocument/2006/relationships/hyperlink" Target="https://www.google.com/search?q=site%3Aquartzcomponents.com+2A+fuse+with+suitable+DC+voltage+rating" TargetMode="External" Id="rId138"/><Relationship Type="http://schemas.openxmlformats.org/officeDocument/2006/relationships/hyperlink" Target="https://www.google.com/search?q=site%3Aflyrobo.in+2A+fuse+with+suitable+DC+voltage+rating" TargetMode="External" Id="rId139"/><Relationship Type="http://schemas.openxmlformats.org/officeDocument/2006/relationships/hyperlink" Target="https://www.google.com/search?q=site%3Aevelta.com+2A+fuse+with+suitable+DC+voltage+rating" TargetMode="External" Id="rId140"/><Relationship Type="http://schemas.openxmlformats.org/officeDocument/2006/relationships/hyperlink" Target="https://www.google.com/search?q=site%3Aelectronicscomp.com+5.5+x+2.1mm+female+DC+jack+to+screw+terminal" TargetMode="External" Id="rId141"/><Relationship Type="http://schemas.openxmlformats.org/officeDocument/2006/relationships/hyperlink" Target="https://www.google.com/search?q=site%3Arobocraze.com+5.5+x+2.1mm+female+DC+jack+to+screw+terminal" TargetMode="External" Id="rId142"/><Relationship Type="http://schemas.openxmlformats.org/officeDocument/2006/relationships/hyperlink" Target="https://www.google.com/search?q=site%3Aquartzcomponents.com+5.5+x+2.1mm+female+DC+jack+to+screw+terminal" TargetMode="External" Id="rId143"/><Relationship Type="http://schemas.openxmlformats.org/officeDocument/2006/relationships/hyperlink" Target="https://www.google.com/search?q=site%3Aflyrobo.in+5.5+x+2.1mm+female+DC+jack+to+screw+terminal" TargetMode="External" Id="rId144"/><Relationship Type="http://schemas.openxmlformats.org/officeDocument/2006/relationships/hyperlink" Target="https://www.google.com/search?q=site%3Aevelta.com+5.5+x+2.1mm+female+DC+jack+to+screw+terminal" TargetMode="External" Id="rId145"/><Relationship Type="http://schemas.openxmlformats.org/officeDocument/2006/relationships/hyperlink" Target="https://www.google.com/search?q=site%3Aelectronicscomp.com+2-position+screw+terminal+blocks+%3E%3D3A" TargetMode="External" Id="rId146"/><Relationship Type="http://schemas.openxmlformats.org/officeDocument/2006/relationships/hyperlink" Target="https://www.google.com/search?q=site%3Arobocraze.com+2-position+screw+terminal+blocks+%3E%3D3A" TargetMode="External" Id="rId147"/><Relationship Type="http://schemas.openxmlformats.org/officeDocument/2006/relationships/hyperlink" Target="https://www.google.com/search?q=site%3Aquartzcomponents.com+2-position+screw+terminal+blocks+%3E%3D3A" TargetMode="External" Id="rId148"/><Relationship Type="http://schemas.openxmlformats.org/officeDocument/2006/relationships/hyperlink" Target="https://www.google.com/search?q=site%3Aflyrobo.in+2-position+screw+terminal+blocks+%3E%3D3A" TargetMode="External" Id="rId149"/><Relationship Type="http://schemas.openxmlformats.org/officeDocument/2006/relationships/hyperlink" Target="https://www.google.com/search?q=site%3Aevelta.com+2-position+screw+terminal+blocks+%3E%3D3A" TargetMode="External" Id="rId150"/><Relationship Type="http://schemas.openxmlformats.org/officeDocument/2006/relationships/hyperlink" Target="https://www.google.com/search?q=site%3Aelectronicscomp.com+24-26+AWG+signal+hookup+wire+assortment" TargetMode="External" Id="rId151"/><Relationship Type="http://schemas.openxmlformats.org/officeDocument/2006/relationships/hyperlink" Target="https://www.google.com/search?q=site%3Arobocraze.com+24-26+AWG+signal+hookup+wire+assortment" TargetMode="External" Id="rId152"/><Relationship Type="http://schemas.openxmlformats.org/officeDocument/2006/relationships/hyperlink" Target="https://www.google.com/search?q=site%3Aquartzcomponents.com+24-26+AWG+signal+hookup+wire+assortment" TargetMode="External" Id="rId153"/><Relationship Type="http://schemas.openxmlformats.org/officeDocument/2006/relationships/hyperlink" Target="https://www.google.com/search?q=site%3Aflyrobo.in+24-26+AWG+signal+hookup+wire+assortment" TargetMode="External" Id="rId154"/><Relationship Type="http://schemas.openxmlformats.org/officeDocument/2006/relationships/hyperlink" Target="https://www.google.com/search?q=site%3Aevelta.com+24-26+AWG+signal+hookup+wire+assortment" TargetMode="External" Id="rId155"/><Relationship Type="http://schemas.openxmlformats.org/officeDocument/2006/relationships/hyperlink" Target="https://www.google.com/search?q=site%3Aelectronicscomp.com+20-22+AWG+stranded+power+wire+assortment" TargetMode="External" Id="rId156"/><Relationship Type="http://schemas.openxmlformats.org/officeDocument/2006/relationships/hyperlink" Target="https://www.google.com/search?q=site%3Arobocraze.com+20-22+AWG+stranded+power+wire+assortment" TargetMode="External" Id="rId157"/><Relationship Type="http://schemas.openxmlformats.org/officeDocument/2006/relationships/hyperlink" Target="https://www.google.com/search?q=site%3Aquartzcomponents.com+20-22+AWG+stranded+power+wire+assortment" TargetMode="External" Id="rId158"/><Relationship Type="http://schemas.openxmlformats.org/officeDocument/2006/relationships/hyperlink" Target="https://www.google.com/search?q=site%3Aflyrobo.in+20-22+AWG+stranded+power+wire+assortment" TargetMode="External" Id="rId159"/><Relationship Type="http://schemas.openxmlformats.org/officeDocument/2006/relationships/hyperlink" Target="https://www.google.com/search?q=site%3Aevelta.com+20-22+AWG+stranded+power+wire+assortment" TargetMode="External" Id="rId160"/><Relationship Type="http://schemas.openxmlformats.org/officeDocument/2006/relationships/hyperlink" Target="https://www.google.com/search?q=site%3Aelectronicscomp.com+Male-male+and+male-female+jumper+wire+set" TargetMode="External" Id="rId161"/><Relationship Type="http://schemas.openxmlformats.org/officeDocument/2006/relationships/hyperlink" Target="https://www.google.com/search?q=site%3Arobocraze.com+Male-male+and+male-female+jumper+wire+set" TargetMode="External" Id="rId162"/><Relationship Type="http://schemas.openxmlformats.org/officeDocument/2006/relationships/hyperlink" Target="https://www.google.com/search?q=site%3Aquartzcomponents.com+Male-male+and+male-female+jumper+wire+set" TargetMode="External" Id="rId163"/><Relationship Type="http://schemas.openxmlformats.org/officeDocument/2006/relationships/hyperlink" Target="https://www.google.com/search?q=site%3Aflyrobo.in+Male-male+and+male-female+jumper+wire+set" TargetMode="External" Id="rId164"/><Relationship Type="http://schemas.openxmlformats.org/officeDocument/2006/relationships/hyperlink" Target="https://www.google.com/search?q=site%3Aevelta.com+Male-male+and+male-female+jumper+wire+set" TargetMode="External" Id="rId165"/><Relationship Type="http://schemas.openxmlformats.org/officeDocument/2006/relationships/hyperlink" Target="https://www.google.com/search?q=site%3Aelectronicscomp.com+Solderable+perfboard" TargetMode="External" Id="rId166"/><Relationship Type="http://schemas.openxmlformats.org/officeDocument/2006/relationships/hyperlink" Target="https://www.google.com/search?q=site%3Arobocraze.com+Solderable+perfboard" TargetMode="External" Id="rId167"/><Relationship Type="http://schemas.openxmlformats.org/officeDocument/2006/relationships/hyperlink" Target="https://www.google.com/search?q=site%3Aquartzcomponents.com+Solderable+perfboard" TargetMode="External" Id="rId168"/><Relationship Type="http://schemas.openxmlformats.org/officeDocument/2006/relationships/hyperlink" Target="https://www.google.com/search?q=site%3Aflyrobo.in+Solderable+perfboard" TargetMode="External" Id="rId169"/><Relationship Type="http://schemas.openxmlformats.org/officeDocument/2006/relationships/hyperlink" Target="https://www.google.com/search?q=site%3Aevelta.com+Solderable+perfboard" TargetMode="External" Id="rId170"/><Relationship Type="http://schemas.openxmlformats.org/officeDocument/2006/relationships/hyperlink" Target="https://www.google.com/search?q=site%3Aelectronicscomp.com+Heat-shrink+tubing+assortment" TargetMode="External" Id="rId171"/><Relationship Type="http://schemas.openxmlformats.org/officeDocument/2006/relationships/hyperlink" Target="https://www.google.com/search?q=site%3Arobocraze.com+Heat-shrink+tubing+assortment" TargetMode="External" Id="rId172"/><Relationship Type="http://schemas.openxmlformats.org/officeDocument/2006/relationships/hyperlink" Target="https://www.google.com/search?q=site%3Aquartzcomponents.com+Heat-shrink+tubing+assortment" TargetMode="External" Id="rId173"/><Relationship Type="http://schemas.openxmlformats.org/officeDocument/2006/relationships/hyperlink" Target="https://www.google.com/search?q=site%3Aflyrobo.in+Heat-shrink+tubing+assortment" TargetMode="External" Id="rId174"/><Relationship Type="http://schemas.openxmlformats.org/officeDocument/2006/relationships/hyperlink" Target="https://www.google.com/search?q=site%3Aevelta.com+Heat-shrink+tubing+assortment" TargetMode="External" Id="rId175"/><Relationship Type="http://schemas.openxmlformats.org/officeDocument/2006/relationships/hyperlink" Target="https://www.google.com/search?q=site%3Aelectronicscomp.com+USB-A+to+USB-B+Arduino+cable" TargetMode="External" Id="rId176"/><Relationship Type="http://schemas.openxmlformats.org/officeDocument/2006/relationships/hyperlink" Target="https://www.google.com/search?q=site%3Arobocraze.com+USB-A+to+USB-B+Arduino+cable" TargetMode="External" Id="rId177"/><Relationship Type="http://schemas.openxmlformats.org/officeDocument/2006/relationships/hyperlink" Target="https://www.google.com/search?q=site%3Aquartzcomponents.com+USB-A+to+USB-B+Arduino+cable" TargetMode="External" Id="rId178"/><Relationship Type="http://schemas.openxmlformats.org/officeDocument/2006/relationships/hyperlink" Target="https://www.google.com/search?q=site%3Aflyrobo.in+USB-A+to+USB-B+Arduino+cable" TargetMode="External" Id="rId179"/><Relationship Type="http://schemas.openxmlformats.org/officeDocument/2006/relationships/hyperlink" Target="https://www.google.com/search?q=site%3Aevelta.com+USB-A+to+USB-B+Arduino+cable" TargetMode="External" Id="rId180"/><Relationship Type="http://schemas.openxmlformats.org/officeDocument/2006/relationships/hyperlink" Target="https://www.google.com/search?q=site%3Aelectronicscomp.com+Clear+solid+polycarbonate+5mm+sheet%2C+200+x+40mm+coupons" TargetMode="External" Id="rId181"/><Relationship Type="http://schemas.openxmlformats.org/officeDocument/2006/relationships/hyperlink" Target="https://www.google.com/search?q=site%3Arobocraze.com+Clear+solid+polycarbonate+5mm+sheet%2C+200+x+40mm+coupons" TargetMode="External" Id="rId182"/><Relationship Type="http://schemas.openxmlformats.org/officeDocument/2006/relationships/hyperlink" Target="https://www.google.com/search?q=site%3Aquartzcomponents.com+Clear+solid+polycarbonate+5mm+sheet%2C+200+x+40mm+coupons" TargetMode="External" Id="rId183"/><Relationship Type="http://schemas.openxmlformats.org/officeDocument/2006/relationships/hyperlink" Target="https://www.google.com/search?q=site%3Aflyrobo.in+Clear+solid+polycarbonate+5mm+sheet%2C+200+x+40mm+coupons" TargetMode="External" Id="rId184"/><Relationship Type="http://schemas.openxmlformats.org/officeDocument/2006/relationships/hyperlink" Target="https://www.google.com/search?q=site%3Aevelta.com+Clear+solid+polycarbonate+5mm+sheet%2C+200+x+40mm+coupons" TargetMode="External" Id="rId185"/><Relationship Type="http://schemas.openxmlformats.org/officeDocument/2006/relationships/hyperlink" Target="https://www.google.com/search?q=site%3Aelectronicscomp.com+Clear+cast+PMMA+acrylic+5mm+sheet%2C+200+x+40mm+coupons" TargetMode="External" Id="rId186"/><Relationship Type="http://schemas.openxmlformats.org/officeDocument/2006/relationships/hyperlink" Target="https://www.google.com/search?q=site%3Arobocraze.com+Clear+cast+PMMA+acrylic+5mm+sheet%2C+200+x+40mm+coupons" TargetMode="External" Id="rId187"/><Relationship Type="http://schemas.openxmlformats.org/officeDocument/2006/relationships/hyperlink" Target="https://www.google.com/search?q=site%3Aquartzcomponents.com+Clear+cast+PMMA+acrylic+5mm+sheet%2C+200+x+40mm+coupons" TargetMode="External" Id="rId188"/><Relationship Type="http://schemas.openxmlformats.org/officeDocument/2006/relationships/hyperlink" Target="https://www.google.com/search?q=site%3Aflyrobo.in+Clear+cast+PMMA+acrylic+5mm+sheet%2C+200+x+40mm+coupons" TargetMode="External" Id="rId189"/><Relationship Type="http://schemas.openxmlformats.org/officeDocument/2006/relationships/hyperlink" Target="https://www.google.com/search?q=site%3Aevelta.com+Clear+cast+PMMA+acrylic+5mm+sheet%2C+200+x+40mm+coupons" TargetMode="External" Id="rId190"/></Relationships>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42" customWidth="1" min="1" max="1"/>
    <col width="115" customWidth="1" min="2" max="2"/>
  </cols>
  <sheetData>
    <row r="1" ht="42" customHeight="1">
      <c r="A1" s="1" t="inlineStr">
        <is>
          <t>POLARIS sections 1-5: supplier search links and UNVERIFIED budget</t>
        </is>
      </c>
      <c r="B1" s="1" t="inlineStr"/>
    </row>
    <row r="2" ht="50" customHeight="1">
      <c r="A2" s="2" t="inlineStr">
        <is>
          <t>Scope</t>
        </is>
      </c>
      <c r="B2" s="2" t="inlineStr">
        <is>
          <t>Electronics, optics, rotation hardware, wiring and specimens. Excludes load cell/HX711, loading frame, laptop and tools.</t>
        </is>
      </c>
    </row>
    <row r="3" ht="50" customHeight="1">
      <c r="A3" s="3" t="inlineStr">
        <is>
          <t>Price status</t>
        </is>
      </c>
      <c r="B3" s="3" t="inlineStr">
        <is>
          <t>NO CURRENT PRICES VERIFIED. Supplier pages were blocked by HTTP 403 in this environment. Unit amounts are hypothetical planning allocations, not quotes or observed prices.</t>
        </is>
      </c>
    </row>
    <row r="4" ht="50" customHeight="1">
      <c r="A4" s="2" t="inlineStr">
        <is>
          <t>Cheapest seller</t>
        </is>
      </c>
      <c r="B4" s="2" t="inlineStr">
        <is>
          <t>Not established. Search links are not verified direct product listings. No stock, shipping, GST or exact-spec availability was verified.</t>
        </is>
      </c>
    </row>
    <row r="5" ht="50" customHeight="1">
      <c r="A5" s="3" t="inlineStr">
        <is>
          <t>Seller trust</t>
        </is>
      </c>
      <c r="B5" s="3" t="inlineStr">
        <is>
          <t>Not verified. Inclusion is not an endorsement. Check recent independent service reviews, invoice details, return policy, manufacturer provenance and protected payment options.</t>
        </is>
      </c>
    </row>
    <row r="6" ht="50" customHeight="1">
      <c r="A6" s="2" t="inlineStr">
        <is>
          <t>Custom components</t>
        </is>
      </c>
      <c r="B6" s="2" t="inlineStr">
        <is>
          <t>Analyzer annular ring/holder and bearing support need a mechanical drawing and fabrication quote. Belt length depends on centre distance.</t>
        </is>
      </c>
    </row>
    <row r="7" ht="50" customHeight="1">
      <c r="A7" s="3" t="inlineStr">
        <is>
          <t>Double counting</t>
        </is>
      </c>
      <c r="B7" s="3" t="inlineStr">
        <is>
          <t>The rotating polarizer holder is included ONCE in the custom annular ring line. Diffuser/cable can be removed if already included; PMMA is optional.</t>
        </is>
      </c>
    </row>
    <row r="8" ht="50" customHeight="1">
      <c r="A8" s="2" t="inlineStr">
        <is>
          <t>Hypothetical item allocation (INR)</t>
        </is>
      </c>
      <c r="B8" s="2" t="n">
        <v>13050</v>
      </c>
    </row>
    <row r="9" ht="50" customHeight="1">
      <c r="A9" s="3" t="inlineStr">
        <is>
          <t>15% planning reserve (INR)</t>
        </is>
      </c>
      <c r="B9" s="3" t="n">
        <v>1957.5</v>
      </c>
    </row>
    <row r="10" ht="50" customHeight="1">
      <c r="A10" s="2" t="inlineStr">
        <is>
          <t>Hypothetical total incl reserve (INR)</t>
        </is>
      </c>
      <c r="B10" s="2" t="n">
        <v>15007.5</v>
      </c>
    </row>
    <row r="11" ht="50" customHeight="1">
      <c r="A11" s="3" t="inlineStr">
        <is>
          <t>GST/shipping</t>
        </is>
      </c>
      <c r="B11" s="3" t="inlineStr">
        <is>
          <t>Not verified or separately calculated; reserve is not a tax/shipping quotation. Final delivered total may exceed this allowance.</t>
        </is>
      </c>
    </row>
    <row r="12" ht="50" customHeight="1">
      <c r="A12" s="2" t="inlineStr">
        <is>
          <t>Date</t>
        </is>
      </c>
      <c r="B12" s="2" t="inlineStr">
        <is>
          <t>Prepared 18 October 2026; not a live pricing snapshot.</t>
        </is>
      </c>
    </row>
    <row r="13" ht="50" customHeight="1">
      <c r="A13" s="3" t="inlineStr">
        <is>
          <t>How to obtain an actual total</t>
        </is>
      </c>
      <c r="B13" s="3" t="inlineStr">
        <is>
          <t>Open supplier searches, identify matching listings, enter actual unit prices and product links in the Quotes sheet, then add shipping and any tax not already included. Obtain custom fabrication quotations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61" customWidth="1" min="2" max="2"/>
    <col width="11" customWidth="1" min="3" max="3"/>
    <col width="21" customWidth="1" min="4" max="4"/>
    <col width="21" customWidth="1" min="5" max="5"/>
    <col width="75" customWidth="1" min="6" max="6"/>
    <col width="28" customWidth="1" min="7" max="7"/>
    <col width="28" customWidth="1" min="8" max="8"/>
    <col width="28" customWidth="1" min="9" max="9"/>
    <col width="28" customWidth="1" min="10" max="10"/>
    <col width="28" customWidth="1" min="11" max="11"/>
  </cols>
  <sheetData>
    <row r="1" ht="42" customHeight="1">
      <c r="A1" s="1" t="inlineStr">
        <is>
          <t>Section</t>
        </is>
      </c>
      <c r="B1" s="1" t="inlineStr">
        <is>
          <t>Item / search specification</t>
        </is>
      </c>
      <c r="C1" s="1" t="inlineStr">
        <is>
          <t>Quantity</t>
        </is>
      </c>
      <c r="D1" s="1" t="inlineStr">
        <is>
          <t>UNVERIFIED unit budget INR</t>
        </is>
      </c>
      <c r="E1" s="1" t="inlineStr">
        <is>
          <t>UNVERIFIED line budget INR</t>
        </is>
      </c>
      <c r="F1" s="1" t="inlineStr">
        <is>
          <t>Compatibility notes</t>
        </is>
      </c>
      <c r="G1" s="1" t="inlineStr">
        <is>
          <t>ElectronicsComp</t>
        </is>
      </c>
      <c r="H1" s="1" t="inlineStr">
        <is>
          <t>Robocraze</t>
        </is>
      </c>
      <c r="I1" s="1" t="inlineStr">
        <is>
          <t>Quartz Components</t>
        </is>
      </c>
      <c r="J1" s="1" t="inlineStr">
        <is>
          <t>FlyRobo</t>
        </is>
      </c>
      <c r="K1" s="1" t="inlineStr">
        <is>
          <t>Evelta</t>
        </is>
      </c>
    </row>
    <row r="2" ht="60" customHeight="1">
      <c r="A2" s="2" t="inlineStr">
        <is>
          <t>1 Electronics</t>
        </is>
      </c>
      <c r="B2" s="2" t="inlineStr">
        <is>
          <t>Uno R3 compatible ATmega328P, 5V, 16MHz</t>
        </is>
      </c>
      <c r="C2" s="2" t="n">
        <v>1</v>
      </c>
      <c r="D2" s="2" t="n">
        <v>600</v>
      </c>
      <c r="E2" s="2" t="n">
        <v>600</v>
      </c>
      <c r="F2" s="2" t="inlineStr">
        <is>
          <t>Check USB interface/cable; original Arduino costs more.</t>
        </is>
      </c>
      <c r="G2" s="4" t="inlineStr">
        <is>
          <t>Search — price unverified</t>
        </is>
      </c>
      <c r="H2" s="4" t="inlineStr">
        <is>
          <t>Search — price unverified</t>
        </is>
      </c>
      <c r="I2" s="4" t="inlineStr">
        <is>
          <t>Search — price unverified</t>
        </is>
      </c>
      <c r="J2" s="4" t="inlineStr">
        <is>
          <t>Search — price unverified</t>
        </is>
      </c>
      <c r="K2" s="4" t="inlineStr">
        <is>
          <t>Search — price unverified</t>
        </is>
      </c>
    </row>
    <row r="3" ht="60" customHeight="1">
      <c r="A3" s="3" t="inlineStr">
        <is>
          <t>1 Electronics</t>
        </is>
      </c>
      <c r="B3" s="3" t="inlineStr">
        <is>
          <t>A4988 carrier with heatsink</t>
        </is>
      </c>
      <c r="C3" s="3" t="n">
        <v>1</v>
      </c>
      <c r="D3" s="3" t="n">
        <v>200</v>
      </c>
      <c r="E3" s="3" t="n">
        <v>200</v>
      </c>
      <c r="F3" s="3" t="inlineStr">
        <is>
          <t>Require documented pinout and sense-resistor value.</t>
        </is>
      </c>
      <c r="G3" s="5" t="inlineStr">
        <is>
          <t>Search — price unverified</t>
        </is>
      </c>
      <c r="H3" s="5" t="inlineStr">
        <is>
          <t>Search — price unverified</t>
        </is>
      </c>
      <c r="I3" s="5" t="inlineStr">
        <is>
          <t>Search — price unverified</t>
        </is>
      </c>
      <c r="J3" s="5" t="inlineStr">
        <is>
          <t>Search — price unverified</t>
        </is>
      </c>
      <c r="K3" s="5" t="inlineStr">
        <is>
          <t>Search — price unverified</t>
        </is>
      </c>
    </row>
    <row r="4" ht="60" customHeight="1">
      <c r="A4" s="2" t="inlineStr">
        <is>
          <t>1 Electronics</t>
        </is>
      </c>
      <c r="B4" s="2" t="inlineStr">
        <is>
          <t>17HS4401 NEMA17 bipolar, 1.8 degree, 4 wire</t>
        </is>
      </c>
      <c r="C4" s="2" t="n">
        <v>1</v>
      </c>
      <c r="D4" s="2" t="n">
        <v>800</v>
      </c>
      <c r="E4" s="2" t="n">
        <v>800</v>
      </c>
      <c r="F4" s="2" t="inlineStr">
        <is>
          <t>Verify actual motor datasheet, shaft and phase current; start driver at 0.60 A.</t>
        </is>
      </c>
      <c r="G4" s="4" t="inlineStr">
        <is>
          <t>Search — price unverified</t>
        </is>
      </c>
      <c r="H4" s="4" t="inlineStr">
        <is>
          <t>Search — price unverified</t>
        </is>
      </c>
      <c r="I4" s="4" t="inlineStr">
        <is>
          <t>Search — price unverified</t>
        </is>
      </c>
      <c r="J4" s="4" t="inlineStr">
        <is>
          <t>Search — price unverified</t>
        </is>
      </c>
      <c r="K4" s="4" t="inlineStr">
        <is>
          <t>Search — price unverified</t>
        </is>
      </c>
    </row>
    <row r="5" ht="60" customHeight="1">
      <c r="A5" s="3" t="inlineStr">
        <is>
          <t>1 Electronics</t>
        </is>
      </c>
      <c r="B5" s="3" t="inlineStr">
        <is>
          <t>Logitech C270 HD USB webcam 720p</t>
        </is>
      </c>
      <c r="C5" s="3" t="n">
        <v>1</v>
      </c>
      <c r="D5" s="3" t="n">
        <v>2000</v>
      </c>
      <c r="E5" s="3" t="n">
        <v>2000</v>
      </c>
      <c r="F5" s="3" t="inlineStr">
        <is>
          <t>Confirm manual exposure and white-balance control in intended software before buying; qualitative imaging.</t>
        </is>
      </c>
      <c r="G5" s="5" t="inlineStr">
        <is>
          <t>Search — price unverified</t>
        </is>
      </c>
      <c r="H5" s="5" t="inlineStr">
        <is>
          <t>Search — price unverified</t>
        </is>
      </c>
      <c r="I5" s="5" t="inlineStr">
        <is>
          <t>Search — price unverified</t>
        </is>
      </c>
      <c r="J5" s="5" t="inlineStr">
        <is>
          <t>Search — price unverified</t>
        </is>
      </c>
      <c r="K5" s="5" t="inlineStr">
        <is>
          <t>Search — price unverified</t>
        </is>
      </c>
    </row>
    <row r="6" ht="60" customHeight="1">
      <c r="A6" s="2" t="inlineStr">
        <is>
          <t>1 Electronics</t>
        </is>
      </c>
      <c r="B6" s="2" t="inlineStr">
        <is>
          <t>Isolated regulated 12V DC 3A enclosed adapter</t>
        </is>
      </c>
      <c r="C6" s="2" t="n">
        <v>1</v>
      </c>
      <c r="D6" s="2" t="n">
        <v>650</v>
      </c>
      <c r="E6" s="2" t="n">
        <v>650</v>
      </c>
      <c r="F6" s="2" t="inlineStr">
        <is>
          <t>Check connector, centre polarity, certification and included cable.</t>
        </is>
      </c>
      <c r="G6" s="4" t="inlineStr">
        <is>
          <t>Search — price unverified</t>
        </is>
      </c>
      <c r="H6" s="4" t="inlineStr">
        <is>
          <t>Search — price unverified</t>
        </is>
      </c>
      <c r="I6" s="4" t="inlineStr">
        <is>
          <t>Search — price unverified</t>
        </is>
      </c>
      <c r="J6" s="4" t="inlineStr">
        <is>
          <t>Search — price unverified</t>
        </is>
      </c>
      <c r="K6" s="4" t="inlineStr">
        <is>
          <t>Search — price unverified</t>
        </is>
      </c>
    </row>
    <row r="7" ht="60" customHeight="1">
      <c r="A7" s="3" t="inlineStr">
        <is>
          <t>1 Electronics</t>
        </is>
      </c>
      <c r="B7" s="3" t="inlineStr">
        <is>
          <t>FQP30N06L logic-level N-MOSFET TO-220</t>
        </is>
      </c>
      <c r="C7" s="3" t="n">
        <v>2</v>
      </c>
      <c r="D7" s="3" t="n">
        <v>80</v>
      </c>
      <c r="E7" s="3" t="n">
        <v>160</v>
      </c>
      <c r="F7" s="3" t="inlineStr">
        <is>
          <t>Specific genuine part; one installed and one spare.</t>
        </is>
      </c>
      <c r="G7" s="5" t="inlineStr">
        <is>
          <t>Search — price unverified</t>
        </is>
      </c>
      <c r="H7" s="5" t="inlineStr">
        <is>
          <t>Search — price unverified</t>
        </is>
      </c>
      <c r="I7" s="5" t="inlineStr">
        <is>
          <t>Search — price unverified</t>
        </is>
      </c>
      <c r="J7" s="5" t="inlineStr">
        <is>
          <t>Search — price unverified</t>
        </is>
      </c>
      <c r="K7" s="5" t="inlineStr">
        <is>
          <t>Search — price unverified</t>
        </is>
      </c>
    </row>
    <row r="8" ht="60" customHeight="1">
      <c r="A8" s="2" t="inlineStr">
        <is>
          <t>1 Electronics</t>
        </is>
      </c>
      <c r="B8" s="2" t="inlineStr">
        <is>
          <t>Omron SS-5GL SPDT lever microswitch</t>
        </is>
      </c>
      <c r="C8" s="2" t="n">
        <v>2</v>
      </c>
      <c r="D8" s="2" t="n">
        <v>150</v>
      </c>
      <c r="E8" s="2" t="n">
        <v>300</v>
      </c>
      <c r="F8" s="2" t="inlineStr">
        <is>
          <t>COM/NC/NO; one installed and one spare; compare mounting dimensions.</t>
        </is>
      </c>
      <c r="G8" s="4" t="inlineStr">
        <is>
          <t>Search — price unverified</t>
        </is>
      </c>
      <c r="H8" s="4" t="inlineStr">
        <is>
          <t>Search — price unverified</t>
        </is>
      </c>
      <c r="I8" s="4" t="inlineStr">
        <is>
          <t>Search — price unverified</t>
        </is>
      </c>
      <c r="J8" s="4" t="inlineStr">
        <is>
          <t>Search — price unverified</t>
        </is>
      </c>
      <c r="K8" s="4" t="inlineStr">
        <is>
          <t>Search — price unverified</t>
        </is>
      </c>
    </row>
    <row r="9" ht="60" customHeight="1">
      <c r="A9" s="3" t="inlineStr">
        <is>
          <t>2 Optics</t>
        </is>
      </c>
      <c r="B9" s="3" t="inlineStr">
        <is>
          <t>Visible linear polarizing film 150 x 150 mm non-adhesive</t>
        </is>
      </c>
      <c r="C9" s="3" t="n">
        <v>2</v>
      </c>
      <c r="D9" s="3" t="n">
        <v>750</v>
      </c>
      <c r="E9" s="3" t="n">
        <v>1500</v>
      </c>
      <c r="F9" s="3" t="inlineStr">
        <is>
          <t>Not CPL/circular, not decorative tinted film; request transmission/extinction information.</t>
        </is>
      </c>
      <c r="G9" s="5" t="inlineStr">
        <is>
          <t>Search — price unverified</t>
        </is>
      </c>
      <c r="H9" s="5" t="inlineStr">
        <is>
          <t>Search — price unverified</t>
        </is>
      </c>
      <c r="I9" s="5" t="inlineStr">
        <is>
          <t>Search — price unverified</t>
        </is>
      </c>
      <c r="J9" s="5" t="inlineStr">
        <is>
          <t>Search — price unverified</t>
        </is>
      </c>
      <c r="K9" s="5" t="inlineStr">
        <is>
          <t>Search — price unverified</t>
        </is>
      </c>
    </row>
    <row r="10" ht="60" customHeight="1">
      <c r="A10" s="2" t="inlineStr">
        <is>
          <t>2 Optics</t>
        </is>
      </c>
      <c r="B10" s="2" t="inlineStr">
        <is>
          <t>12V white LED backlight panel &gt;=100 x 50 mm, &lt;=0.5A</t>
        </is>
      </c>
      <c r="C10" s="2" t="n">
        <v>1</v>
      </c>
      <c r="D10" s="2" t="n">
        <v>600</v>
      </c>
      <c r="E10" s="2" t="n">
        <v>600</v>
      </c>
      <c r="F10" s="2" t="inlineStr">
        <is>
          <t>Must include current limiting or compatible driver; confirm usable illuminated area.</t>
        </is>
      </c>
      <c r="G10" s="4" t="inlineStr">
        <is>
          <t>Search — price unverified</t>
        </is>
      </c>
      <c r="H10" s="4" t="inlineStr">
        <is>
          <t>Search — price unverified</t>
        </is>
      </c>
      <c r="I10" s="4" t="inlineStr">
        <is>
          <t>Search — price unverified</t>
        </is>
      </c>
      <c r="J10" s="4" t="inlineStr">
        <is>
          <t>Search — price unverified</t>
        </is>
      </c>
      <c r="K10" s="4" t="inlineStr">
        <is>
          <t>Search — price unverified</t>
        </is>
      </c>
    </row>
    <row r="11" ht="60" customHeight="1">
      <c r="A11" s="3" t="inlineStr">
        <is>
          <t>2 Optics</t>
        </is>
      </c>
      <c r="B11" s="3" t="inlineStr">
        <is>
          <t>Opal acrylic diffuser approximately 150 x 100 x 1-2 mm</t>
        </is>
      </c>
      <c r="C11" s="3" t="n">
        <v>1</v>
      </c>
      <c r="D11" s="3" t="n">
        <v>150</v>
      </c>
      <c r="E11" s="3" t="n">
        <v>150</v>
      </c>
      <c r="F11" s="3" t="inlineStr">
        <is>
          <t>Optional if backlight already diffused; placed before input polarizer.</t>
        </is>
      </c>
      <c r="G11" s="5" t="inlineStr">
        <is>
          <t>Search — price unverified</t>
        </is>
      </c>
      <c r="H11" s="5" t="inlineStr">
        <is>
          <t>Search — price unverified</t>
        </is>
      </c>
      <c r="I11" s="5" t="inlineStr">
        <is>
          <t>Search — price unverified</t>
        </is>
      </c>
      <c r="J11" s="5" t="inlineStr">
        <is>
          <t>Search — price unverified</t>
        </is>
      </c>
      <c r="K11" s="5" t="inlineStr">
        <is>
          <t>Search — price unverified</t>
        </is>
      </c>
    </row>
    <row r="12" ht="60" customHeight="1">
      <c r="A12" s="2" t="inlineStr">
        <is>
          <t>2 Optics</t>
        </is>
      </c>
      <c r="B12" s="2" t="inlineStr">
        <is>
          <t>Fixed polarizing-film holder</t>
        </is>
      </c>
      <c r="C12" s="2" t="n">
        <v>1</v>
      </c>
      <c r="D12" s="2" t="n">
        <v>250</v>
      </c>
      <c r="E12" s="2" t="n">
        <v>250</v>
      </c>
      <c r="F12" s="2" t="inlineStr">
        <is>
          <t>Fabricated frame acceptable; film flat and aperture clear.</t>
        </is>
      </c>
      <c r="G12" s="4" t="inlineStr">
        <is>
          <t>Search — price unverified</t>
        </is>
      </c>
      <c r="H12" s="4" t="inlineStr">
        <is>
          <t>Search — price unverified</t>
        </is>
      </c>
      <c r="I12" s="4" t="inlineStr">
        <is>
          <t>Search — price unverified</t>
        </is>
      </c>
      <c r="J12" s="4" t="inlineStr">
        <is>
          <t>Search — price unverified</t>
        </is>
      </c>
      <c r="K12" s="4" t="inlineStr">
        <is>
          <t>Search — price unverified</t>
        </is>
      </c>
    </row>
    <row r="13" ht="60" customHeight="1">
      <c r="A13" s="3" t="inlineStr">
        <is>
          <t>2 Optics</t>
        </is>
      </c>
      <c r="B13" s="3" t="inlineStr">
        <is>
          <t>Adjustable webcam mount compatible with C270</t>
        </is>
      </c>
      <c r="C13" s="3" t="n">
        <v>1</v>
      </c>
      <c r="D13" s="3" t="n">
        <v>300</v>
      </c>
      <c r="E13" s="3" t="n">
        <v>300</v>
      </c>
      <c r="F13" s="3" t="inlineStr">
        <is>
          <t>Do not assume a standard tripod socket on webcam.</t>
        </is>
      </c>
      <c r="G13" s="5" t="inlineStr">
        <is>
          <t>Search — price unverified</t>
        </is>
      </c>
      <c r="H13" s="5" t="inlineStr">
        <is>
          <t>Search — price unverified</t>
        </is>
      </c>
      <c r="I13" s="5" t="inlineStr">
        <is>
          <t>Search — price unverified</t>
        </is>
      </c>
      <c r="J13" s="5" t="inlineStr">
        <is>
          <t>Search — price unverified</t>
        </is>
      </c>
      <c r="K13" s="5" t="inlineStr">
        <is>
          <t>Search — price unverified</t>
        </is>
      </c>
    </row>
    <row r="14" ht="60" customHeight="1">
      <c r="A14" s="2" t="inlineStr">
        <is>
          <t>2 Optics</t>
        </is>
      </c>
      <c r="B14" s="2" t="inlineStr">
        <is>
          <t>Matte black enclosure panels / foam board</t>
        </is>
      </c>
      <c r="C14" s="2" t="n">
        <v>1</v>
      </c>
      <c r="D14" s="2" t="n">
        <v>250</v>
      </c>
      <c r="E14" s="2" t="n">
        <v>250</v>
      </c>
      <c r="F14" s="2" t="inlineStr">
        <is>
          <t>One material allowance; dimensions after optical layout.</t>
        </is>
      </c>
      <c r="G14" s="4" t="inlineStr">
        <is>
          <t>Search — price unverified</t>
        </is>
      </c>
      <c r="H14" s="4" t="inlineStr">
        <is>
          <t>Search — price unverified</t>
        </is>
      </c>
      <c r="I14" s="4" t="inlineStr">
        <is>
          <t>Search — price unverified</t>
        </is>
      </c>
      <c r="J14" s="4" t="inlineStr">
        <is>
          <t>Search — price unverified</t>
        </is>
      </c>
      <c r="K14" s="4" t="inlineStr">
        <is>
          <t>Search — price unverified</t>
        </is>
      </c>
    </row>
    <row r="15" ht="60" customHeight="1">
      <c r="A15" s="3" t="inlineStr">
        <is>
          <t>3 Mechanics</t>
        </is>
      </c>
      <c r="B15" s="3" t="inlineStr">
        <is>
          <t>GT2 20T pulley 2mm pitch, 5mm bore, 6mm belt width</t>
        </is>
      </c>
      <c r="C15" s="3" t="n">
        <v>1</v>
      </c>
      <c r="D15" s="3" t="n">
        <v>150</v>
      </c>
      <c r="E15" s="3" t="n">
        <v>150</v>
      </c>
      <c r="F15" s="3" t="inlineStr">
        <is>
          <t>Confirm motor shaft; include grub screws.</t>
        </is>
      </c>
      <c r="G15" s="5" t="inlineStr">
        <is>
          <t>Search — price unverified</t>
        </is>
      </c>
      <c r="H15" s="5" t="inlineStr">
        <is>
          <t>Search — price unverified</t>
        </is>
      </c>
      <c r="I15" s="5" t="inlineStr">
        <is>
          <t>Search — price unverified</t>
        </is>
      </c>
      <c r="J15" s="5" t="inlineStr">
        <is>
          <t>Search — price unverified</t>
        </is>
      </c>
      <c r="K15" s="5" t="inlineStr">
        <is>
          <t>Search — price unverified</t>
        </is>
      </c>
    </row>
    <row r="16" ht="60" customHeight="1">
      <c r="A16" s="2" t="inlineStr">
        <is>
          <t>3 Mechanics</t>
        </is>
      </c>
      <c r="B16" s="2" t="inlineStr">
        <is>
          <t>CUSTOM GT2 80T annular analyzer pulley / holder</t>
        </is>
      </c>
      <c r="C16" s="2" t="n">
        <v>1</v>
      </c>
      <c r="D16" s="2" t="n">
        <v>1500</v>
      </c>
      <c r="E16" s="2" t="n">
        <v>1500</v>
      </c>
      <c r="F16" s="2" t="inlineStr">
        <is>
          <t>FABRICATION QUOTE REQUIRED. Must have central optical opening, not a normal solid pulley. Holder included here once.</t>
        </is>
      </c>
      <c r="G16" s="4" t="inlineStr">
        <is>
          <t>Search — price unverified</t>
        </is>
      </c>
      <c r="H16" s="4" t="inlineStr">
        <is>
          <t>Search — price unverified</t>
        </is>
      </c>
      <c r="I16" s="4" t="inlineStr">
        <is>
          <t>Search — price unverified</t>
        </is>
      </c>
      <c r="J16" s="4" t="inlineStr">
        <is>
          <t>Search — price unverified</t>
        </is>
      </c>
      <c r="K16" s="4" t="inlineStr">
        <is>
          <t>Search — price unverified</t>
        </is>
      </c>
    </row>
    <row r="17" ht="60" customHeight="1">
      <c r="A17" s="3" t="inlineStr">
        <is>
          <t>3 Mechanics</t>
        </is>
      </c>
      <c r="B17" s="3" t="inlineStr">
        <is>
          <t>GT2 closed-loop belt 2mm pitch 6mm wide</t>
        </is>
      </c>
      <c r="C17" s="3" t="n">
        <v>1</v>
      </c>
      <c r="D17" s="3" t="n">
        <v>200</v>
      </c>
      <c r="E17" s="3" t="n">
        <v>200</v>
      </c>
      <c r="F17" s="3" t="inlineStr">
        <is>
          <t>Length NOT finalized; choose after shaft centre distance is fixed.</t>
        </is>
      </c>
      <c r="G17" s="5" t="inlineStr">
        <is>
          <t>Search — price unverified</t>
        </is>
      </c>
      <c r="H17" s="5" t="inlineStr">
        <is>
          <t>Search — price unverified</t>
        </is>
      </c>
      <c r="I17" s="5" t="inlineStr">
        <is>
          <t>Search — price unverified</t>
        </is>
      </c>
      <c r="J17" s="5" t="inlineStr">
        <is>
          <t>Search — price unverified</t>
        </is>
      </c>
      <c r="K17" s="5" t="inlineStr">
        <is>
          <t>Search — price unverified</t>
        </is>
      </c>
    </row>
    <row r="18" ht="60" customHeight="1">
      <c r="A18" s="2" t="inlineStr">
        <is>
          <t>3 Mechanics</t>
        </is>
      </c>
      <c r="B18" s="2" t="inlineStr">
        <is>
          <t>Analyzer bearing / roller support assembly</t>
        </is>
      </c>
      <c r="C18" s="2" t="n">
        <v>1</v>
      </c>
      <c r="D18" s="2" t="n">
        <v>700</v>
      </c>
      <c r="E18" s="2" t="n">
        <v>700</v>
      </c>
      <c r="F18" s="2" t="inlineStr">
        <is>
          <t>FABRICATION QUOTE REQUIRED. Bearing size depends on approved ring drawing.</t>
        </is>
      </c>
      <c r="G18" s="4" t="inlineStr">
        <is>
          <t>Search — price unverified</t>
        </is>
      </c>
      <c r="H18" s="4" t="inlineStr">
        <is>
          <t>Search — price unverified</t>
        </is>
      </c>
      <c r="I18" s="4" t="inlineStr">
        <is>
          <t>Search — price unverified</t>
        </is>
      </c>
      <c r="J18" s="4" t="inlineStr">
        <is>
          <t>Search — price unverified</t>
        </is>
      </c>
      <c r="K18" s="4" t="inlineStr">
        <is>
          <t>Search — price unverified</t>
        </is>
      </c>
    </row>
    <row r="19" ht="60" customHeight="1">
      <c r="A19" s="3" t="inlineStr">
        <is>
          <t>3 Mechanics</t>
        </is>
      </c>
      <c r="B19" s="3" t="inlineStr">
        <is>
          <t>NEMA17 L mounting bracket</t>
        </is>
      </c>
      <c r="C19" s="3" t="n">
        <v>1</v>
      </c>
      <c r="D19" s="3" t="n">
        <v>150</v>
      </c>
      <c r="E19" s="3" t="n">
        <v>150</v>
      </c>
      <c r="F19" s="3" t="inlineStr">
        <is>
          <t>Match motor pattern; verify screw lengths.</t>
        </is>
      </c>
      <c r="G19" s="5" t="inlineStr">
        <is>
          <t>Search — price unverified</t>
        </is>
      </c>
      <c r="H19" s="5" t="inlineStr">
        <is>
          <t>Search — price unverified</t>
        </is>
      </c>
      <c r="I19" s="5" t="inlineStr">
        <is>
          <t>Search — price unverified</t>
        </is>
      </c>
      <c r="J19" s="5" t="inlineStr">
        <is>
          <t>Search — price unverified</t>
        </is>
      </c>
      <c r="K19" s="5" t="inlineStr">
        <is>
          <t>Search — price unverified</t>
        </is>
      </c>
    </row>
    <row r="20" ht="60" customHeight="1">
      <c r="A20" s="2" t="inlineStr">
        <is>
          <t>3 Mechanics</t>
        </is>
      </c>
      <c r="B20" s="2" t="inlineStr">
        <is>
          <t>Rigid base plate approximately 300 x 200 mm</t>
        </is>
      </c>
      <c r="C20" s="2" t="n">
        <v>1</v>
      </c>
      <c r="D20" s="2" t="n">
        <v>400</v>
      </c>
      <c r="E20" s="2" t="n">
        <v>400</v>
      </c>
      <c r="F20" s="2" t="inlineStr">
        <is>
          <t>Fabrication/material allowance; final dimensions after layout.</t>
        </is>
      </c>
      <c r="G20" s="4" t="inlineStr">
        <is>
          <t>Search — price unverified</t>
        </is>
      </c>
      <c r="H20" s="4" t="inlineStr">
        <is>
          <t>Search — price unverified</t>
        </is>
      </c>
      <c r="I20" s="4" t="inlineStr">
        <is>
          <t>Search — price unverified</t>
        </is>
      </c>
      <c r="J20" s="4" t="inlineStr">
        <is>
          <t>Search — price unverified</t>
        </is>
      </c>
      <c r="K20" s="4" t="inlineStr">
        <is>
          <t>Search — price unverified</t>
        </is>
      </c>
    </row>
    <row r="21" ht="60" customHeight="1">
      <c r="A21" s="3" t="inlineStr">
        <is>
          <t>3 Mechanics</t>
        </is>
      </c>
      <c r="B21" s="3" t="inlineStr">
        <is>
          <t>M3/M4 screws nuts washers spacers assortment</t>
        </is>
      </c>
      <c r="C21" s="3" t="n">
        <v>1</v>
      </c>
      <c r="D21" s="3" t="n">
        <v>200</v>
      </c>
      <c r="E21" s="3" t="n">
        <v>200</v>
      </c>
      <c r="F21" s="3" t="inlineStr">
        <is>
          <t>One assortment; match mounts and avoid screws bottoming in motor.</t>
        </is>
      </c>
      <c r="G21" s="5" t="inlineStr">
        <is>
          <t>Search — price unverified</t>
        </is>
      </c>
      <c r="H21" s="5" t="inlineStr">
        <is>
          <t>Search — price unverified</t>
        </is>
      </c>
      <c r="I21" s="5" t="inlineStr">
        <is>
          <t>Search — price unverified</t>
        </is>
      </c>
      <c r="J21" s="5" t="inlineStr">
        <is>
          <t>Search — price unverified</t>
        </is>
      </c>
      <c r="K21" s="5" t="inlineStr">
        <is>
          <t>Search — price unverified</t>
        </is>
      </c>
    </row>
    <row r="22" ht="60" customHeight="1">
      <c r="A22" s="2" t="inlineStr">
        <is>
          <t>4 Wiring</t>
        </is>
      </c>
      <c r="B22" s="2" t="inlineStr">
        <is>
          <t>10 kohm 1/4W 1% metal-film resistor</t>
        </is>
      </c>
      <c r="C22" s="2" t="n">
        <v>10</v>
      </c>
      <c r="D22" s="2" t="n">
        <v>2</v>
      </c>
      <c r="E22" s="2" t="n">
        <v>20</v>
      </c>
      <c r="F22" s="2" t="inlineStr">
        <is>
          <t>Four required, extras are spares; sellers may impose pack quantities.</t>
        </is>
      </c>
      <c r="G22" s="4" t="inlineStr">
        <is>
          <t>Search — price unverified</t>
        </is>
      </c>
      <c r="H22" s="4" t="inlineStr">
        <is>
          <t>Search — price unverified</t>
        </is>
      </c>
      <c r="I22" s="4" t="inlineStr">
        <is>
          <t>Search — price unverified</t>
        </is>
      </c>
      <c r="J22" s="4" t="inlineStr">
        <is>
          <t>Search — price unverified</t>
        </is>
      </c>
      <c r="K22" s="4" t="inlineStr">
        <is>
          <t>Search — price unverified</t>
        </is>
      </c>
    </row>
    <row r="23" ht="60" customHeight="1">
      <c r="A23" s="3" t="inlineStr">
        <is>
          <t>4 Wiring</t>
        </is>
      </c>
      <c r="B23" s="3" t="inlineStr">
        <is>
          <t>4.7 kohm 1/4W 1% metal-film resistor</t>
        </is>
      </c>
      <c r="C23" s="3" t="n">
        <v>5</v>
      </c>
      <c r="D23" s="3" t="n">
        <v>2</v>
      </c>
      <c r="E23" s="3" t="n">
        <v>10</v>
      </c>
      <c r="F23" s="3" t="inlineStr">
        <is>
          <t>One required; pack pricing varies.</t>
        </is>
      </c>
      <c r="G23" s="5" t="inlineStr">
        <is>
          <t>Search — price unverified</t>
        </is>
      </c>
      <c r="H23" s="5" t="inlineStr">
        <is>
          <t>Search — price unverified</t>
        </is>
      </c>
      <c r="I23" s="5" t="inlineStr">
        <is>
          <t>Search — price unverified</t>
        </is>
      </c>
      <c r="J23" s="5" t="inlineStr">
        <is>
          <t>Search — price unverified</t>
        </is>
      </c>
      <c r="K23" s="5" t="inlineStr">
        <is>
          <t>Search — price unverified</t>
        </is>
      </c>
    </row>
    <row r="24" ht="60" customHeight="1">
      <c r="A24" s="2" t="inlineStr">
        <is>
          <t>4 Wiring</t>
        </is>
      </c>
      <c r="B24" s="2" t="inlineStr">
        <is>
          <t>100 ohm 1/4W 1% metal-film resistor</t>
        </is>
      </c>
      <c r="C24" s="2" t="n">
        <v>5</v>
      </c>
      <c r="D24" s="2" t="n">
        <v>2</v>
      </c>
      <c r="E24" s="2" t="n">
        <v>10</v>
      </c>
      <c r="F24" s="2" t="inlineStr">
        <is>
          <t>One required; pack pricing varies.</t>
        </is>
      </c>
      <c r="G24" s="4" t="inlineStr">
        <is>
          <t>Search — price unverified</t>
        </is>
      </c>
      <c r="H24" s="4" t="inlineStr">
        <is>
          <t>Search — price unverified</t>
        </is>
      </c>
      <c r="I24" s="4" t="inlineStr">
        <is>
          <t>Search — price unverified</t>
        </is>
      </c>
      <c r="J24" s="4" t="inlineStr">
        <is>
          <t>Search — price unverified</t>
        </is>
      </c>
      <c r="K24" s="4" t="inlineStr">
        <is>
          <t>Search — price unverified</t>
        </is>
      </c>
    </row>
    <row r="25" ht="60" customHeight="1">
      <c r="A25" s="3" t="inlineStr">
        <is>
          <t>4 Wiring</t>
        </is>
      </c>
      <c r="B25" s="3" t="inlineStr">
        <is>
          <t>100uF 35V radial electrolytic capacitor 105C</t>
        </is>
      </c>
      <c r="C25" s="3" t="n">
        <v>2</v>
      </c>
      <c r="D25" s="3" t="n">
        <v>20</v>
      </c>
      <c r="E25" s="3" t="n">
        <v>40</v>
      </c>
      <c r="F25" s="3" t="inlineStr">
        <is>
          <t>One installed; observe polarity; mount near VMOT.</t>
        </is>
      </c>
      <c r="G25" s="5" t="inlineStr">
        <is>
          <t>Search — price unverified</t>
        </is>
      </c>
      <c r="H25" s="5" t="inlineStr">
        <is>
          <t>Search — price unverified</t>
        </is>
      </c>
      <c r="I25" s="5" t="inlineStr">
        <is>
          <t>Search — price unverified</t>
        </is>
      </c>
      <c r="J25" s="5" t="inlineStr">
        <is>
          <t>Search — price unverified</t>
        </is>
      </c>
      <c r="K25" s="5" t="inlineStr">
        <is>
          <t>Search — price unverified</t>
        </is>
      </c>
    </row>
    <row r="26" ht="60" customHeight="1">
      <c r="A26" s="2" t="inlineStr">
        <is>
          <t>4 Wiring</t>
        </is>
      </c>
      <c r="B26" s="2" t="inlineStr">
        <is>
          <t>100nF 50V X7R ceramic capacitor</t>
        </is>
      </c>
      <c r="C26" s="2" t="n">
        <v>5</v>
      </c>
      <c r="D26" s="2" t="n">
        <v>5</v>
      </c>
      <c r="E26" s="2" t="n">
        <v>25</v>
      </c>
      <c r="F26" s="2" t="inlineStr">
        <is>
          <t>Two installed; choose leaded package or suitable adapter.</t>
        </is>
      </c>
      <c r="G26" s="4" t="inlineStr">
        <is>
          <t>Search — price unverified</t>
        </is>
      </c>
      <c r="H26" s="4" t="inlineStr">
        <is>
          <t>Search — price unverified</t>
        </is>
      </c>
      <c r="I26" s="4" t="inlineStr">
        <is>
          <t>Search — price unverified</t>
        </is>
      </c>
      <c r="J26" s="4" t="inlineStr">
        <is>
          <t>Search — price unverified</t>
        </is>
      </c>
      <c r="K26" s="4" t="inlineStr">
        <is>
          <t>Search — price unverified</t>
        </is>
      </c>
    </row>
    <row r="27" ht="60" customHeight="1">
      <c r="A27" s="3" t="inlineStr">
        <is>
          <t>4 Wiring</t>
        </is>
      </c>
      <c r="B27" s="3" t="inlineStr">
        <is>
          <t>SPST power switch rated &gt;=3A at 12V DC</t>
        </is>
      </c>
      <c r="C27" s="3" t="n">
        <v>1</v>
      </c>
      <c r="D27" s="3" t="n">
        <v>80</v>
      </c>
      <c r="E27" s="3" t="n">
        <v>80</v>
      </c>
      <c r="F27" s="3" t="inlineStr">
        <is>
          <t>DC load rating must be documented.</t>
        </is>
      </c>
      <c r="G27" s="5" t="inlineStr">
        <is>
          <t>Search — price unverified</t>
        </is>
      </c>
      <c r="H27" s="5" t="inlineStr">
        <is>
          <t>Search — price unverified</t>
        </is>
      </c>
      <c r="I27" s="5" t="inlineStr">
        <is>
          <t>Search — price unverified</t>
        </is>
      </c>
      <c r="J27" s="5" t="inlineStr">
        <is>
          <t>Search — price unverified</t>
        </is>
      </c>
      <c r="K27" s="5" t="inlineStr">
        <is>
          <t>Search — price unverified</t>
        </is>
      </c>
    </row>
    <row r="28" ht="60" customHeight="1">
      <c r="A28" s="2" t="inlineStr">
        <is>
          <t>4 Wiring</t>
        </is>
      </c>
      <c r="B28" s="2" t="inlineStr">
        <is>
          <t>Inline fuse holder</t>
        </is>
      </c>
      <c r="C28" s="2" t="n">
        <v>1</v>
      </c>
      <c r="D28" s="2" t="n">
        <v>60</v>
      </c>
      <c r="E28" s="2" t="n">
        <v>60</v>
      </c>
      <c r="F28" s="2" t="inlineStr">
        <is>
          <t>Must match selected fuse size; suitable current/voltage rating.</t>
        </is>
      </c>
      <c r="G28" s="4" t="inlineStr">
        <is>
          <t>Search — price unverified</t>
        </is>
      </c>
      <c r="H28" s="4" t="inlineStr">
        <is>
          <t>Search — price unverified</t>
        </is>
      </c>
      <c r="I28" s="4" t="inlineStr">
        <is>
          <t>Search — price unverified</t>
        </is>
      </c>
      <c r="J28" s="4" t="inlineStr">
        <is>
          <t>Search — price unverified</t>
        </is>
      </c>
      <c r="K28" s="4" t="inlineStr">
        <is>
          <t>Search — price unverified</t>
        </is>
      </c>
    </row>
    <row r="29" ht="60" customHeight="1">
      <c r="A29" s="3" t="inlineStr">
        <is>
          <t>4 Wiring</t>
        </is>
      </c>
      <c r="B29" s="3" t="inlineStr">
        <is>
          <t>2A fuse with suitable DC voltage rating</t>
        </is>
      </c>
      <c r="C29" s="3" t="n">
        <v>3</v>
      </c>
      <c r="D29" s="3" t="n">
        <v>15</v>
      </c>
      <c r="E29" s="3" t="n">
        <v>45</v>
      </c>
      <c r="F29" s="3" t="inlineStr">
        <is>
          <t>Initial selection; confirm time characteristic during power testing.</t>
        </is>
      </c>
      <c r="G29" s="5" t="inlineStr">
        <is>
          <t>Search — price unverified</t>
        </is>
      </c>
      <c r="H29" s="5" t="inlineStr">
        <is>
          <t>Search — price unverified</t>
        </is>
      </c>
      <c r="I29" s="5" t="inlineStr">
        <is>
          <t>Search — price unverified</t>
        </is>
      </c>
      <c r="J29" s="5" t="inlineStr">
        <is>
          <t>Search — price unverified</t>
        </is>
      </c>
      <c r="K29" s="5" t="inlineStr">
        <is>
          <t>Search — price unverified</t>
        </is>
      </c>
    </row>
    <row r="30" ht="60" customHeight="1">
      <c r="A30" s="2" t="inlineStr">
        <is>
          <t>4 Wiring</t>
        </is>
      </c>
      <c r="B30" s="2" t="inlineStr">
        <is>
          <t>5.5 x 2.1mm female DC jack to screw terminal</t>
        </is>
      </c>
      <c r="C30" s="2" t="n">
        <v>1</v>
      </c>
      <c r="D30" s="2" t="n">
        <v>50</v>
      </c>
      <c r="E30" s="2" t="n">
        <v>50</v>
      </c>
      <c r="F30" s="2" t="inlineStr">
        <is>
          <t>Only if matching adapter connector and polarity.</t>
        </is>
      </c>
      <c r="G30" s="4" t="inlineStr">
        <is>
          <t>Search — price unverified</t>
        </is>
      </c>
      <c r="H30" s="4" t="inlineStr">
        <is>
          <t>Search — price unverified</t>
        </is>
      </c>
      <c r="I30" s="4" t="inlineStr">
        <is>
          <t>Search — price unverified</t>
        </is>
      </c>
      <c r="J30" s="4" t="inlineStr">
        <is>
          <t>Search — price unverified</t>
        </is>
      </c>
      <c r="K30" s="4" t="inlineStr">
        <is>
          <t>Search — price unverified</t>
        </is>
      </c>
    </row>
    <row r="31" ht="60" customHeight="1">
      <c r="A31" s="3" t="inlineStr">
        <is>
          <t>4 Wiring</t>
        </is>
      </c>
      <c r="B31" s="3" t="inlineStr">
        <is>
          <t>2-position screw terminal blocks &gt;=3A</t>
        </is>
      </c>
      <c r="C31" s="3" t="n">
        <v>5</v>
      </c>
      <c r="D31" s="3" t="n">
        <v>20</v>
      </c>
      <c r="E31" s="3" t="n">
        <v>100</v>
      </c>
      <c r="F31" s="3" t="inlineStr">
        <is>
          <t>Five is an initial quantity; match conductor size.</t>
        </is>
      </c>
      <c r="G31" s="5" t="inlineStr">
        <is>
          <t>Search — price unverified</t>
        </is>
      </c>
      <c r="H31" s="5" t="inlineStr">
        <is>
          <t>Search — price unverified</t>
        </is>
      </c>
      <c r="I31" s="5" t="inlineStr">
        <is>
          <t>Search — price unverified</t>
        </is>
      </c>
      <c r="J31" s="5" t="inlineStr">
        <is>
          <t>Search — price unverified</t>
        </is>
      </c>
      <c r="K31" s="5" t="inlineStr">
        <is>
          <t>Search — price unverified</t>
        </is>
      </c>
    </row>
    <row r="32" ht="60" customHeight="1">
      <c r="A32" s="2" t="inlineStr">
        <is>
          <t>4 Wiring</t>
        </is>
      </c>
      <c r="B32" s="2" t="inlineStr">
        <is>
          <t>24-26 AWG signal hookup wire assortment</t>
        </is>
      </c>
      <c r="C32" s="2" t="n">
        <v>1</v>
      </c>
      <c r="D32" s="2" t="n">
        <v>150</v>
      </c>
      <c r="E32" s="2" t="n">
        <v>150</v>
      </c>
      <c r="F32" s="2" t="inlineStr">
        <is>
          <t>One assortment.</t>
        </is>
      </c>
      <c r="G32" s="4" t="inlineStr">
        <is>
          <t>Search — price unverified</t>
        </is>
      </c>
      <c r="H32" s="4" t="inlineStr">
        <is>
          <t>Search — price unverified</t>
        </is>
      </c>
      <c r="I32" s="4" t="inlineStr">
        <is>
          <t>Search — price unverified</t>
        </is>
      </c>
      <c r="J32" s="4" t="inlineStr">
        <is>
          <t>Search — price unverified</t>
        </is>
      </c>
      <c r="K32" s="4" t="inlineStr">
        <is>
          <t>Search — price unverified</t>
        </is>
      </c>
    </row>
    <row r="33" ht="60" customHeight="1">
      <c r="A33" s="3" t="inlineStr">
        <is>
          <t>4 Wiring</t>
        </is>
      </c>
      <c r="B33" s="3" t="inlineStr">
        <is>
          <t>20-22 AWG stranded power wire assortment</t>
        </is>
      </c>
      <c r="C33" s="3" t="n">
        <v>1</v>
      </c>
      <c r="D33" s="3" t="n">
        <v>150</v>
      </c>
      <c r="E33" s="3" t="n">
        <v>150</v>
      </c>
      <c r="F33" s="3" t="inlineStr">
        <is>
          <t>A few metres; current rating also depends on installation.</t>
        </is>
      </c>
      <c r="G33" s="5" t="inlineStr">
        <is>
          <t>Search — price unverified</t>
        </is>
      </c>
      <c r="H33" s="5" t="inlineStr">
        <is>
          <t>Search — price unverified</t>
        </is>
      </c>
      <c r="I33" s="5" t="inlineStr">
        <is>
          <t>Search — price unverified</t>
        </is>
      </c>
      <c r="J33" s="5" t="inlineStr">
        <is>
          <t>Search — price unverified</t>
        </is>
      </c>
      <c r="K33" s="5" t="inlineStr">
        <is>
          <t>Search — price unverified</t>
        </is>
      </c>
    </row>
    <row r="34" ht="60" customHeight="1">
      <c r="A34" s="2" t="inlineStr">
        <is>
          <t>4 Wiring</t>
        </is>
      </c>
      <c r="B34" s="2" t="inlineStr">
        <is>
          <t>Male-male and male-female jumper wire set</t>
        </is>
      </c>
      <c r="C34" s="2" t="n">
        <v>1</v>
      </c>
      <c r="D34" s="2" t="n">
        <v>150</v>
      </c>
      <c r="E34" s="2" t="n">
        <v>150</v>
      </c>
      <c r="F34" s="2" t="inlineStr">
        <is>
          <t>Signals only; secure power connections separately.</t>
        </is>
      </c>
      <c r="G34" s="4" t="inlineStr">
        <is>
          <t>Search — price unverified</t>
        </is>
      </c>
      <c r="H34" s="4" t="inlineStr">
        <is>
          <t>Search — price unverified</t>
        </is>
      </c>
      <c r="I34" s="4" t="inlineStr">
        <is>
          <t>Search — price unverified</t>
        </is>
      </c>
      <c r="J34" s="4" t="inlineStr">
        <is>
          <t>Search — price unverified</t>
        </is>
      </c>
      <c r="K34" s="4" t="inlineStr">
        <is>
          <t>Search — price unverified</t>
        </is>
      </c>
    </row>
    <row r="35" ht="60" customHeight="1">
      <c r="A35" s="3" t="inlineStr">
        <is>
          <t>4 Wiring</t>
        </is>
      </c>
      <c r="B35" s="3" t="inlineStr">
        <is>
          <t>Solderable perfboard</t>
        </is>
      </c>
      <c r="C35" s="3" t="n">
        <v>2</v>
      </c>
      <c r="D35" s="3" t="n">
        <v>50</v>
      </c>
      <c r="E35" s="3" t="n">
        <v>100</v>
      </c>
      <c r="F35" s="3" t="inlineStr">
        <is>
          <t>Avoid high-current supply distribution through flimsy connections.</t>
        </is>
      </c>
      <c r="G35" s="5" t="inlineStr">
        <is>
          <t>Search — price unverified</t>
        </is>
      </c>
      <c r="H35" s="5" t="inlineStr">
        <is>
          <t>Search — price unverified</t>
        </is>
      </c>
      <c r="I35" s="5" t="inlineStr">
        <is>
          <t>Search — price unverified</t>
        </is>
      </c>
      <c r="J35" s="5" t="inlineStr">
        <is>
          <t>Search — price unverified</t>
        </is>
      </c>
      <c r="K35" s="5" t="inlineStr">
        <is>
          <t>Search — price unverified</t>
        </is>
      </c>
    </row>
    <row r="36" ht="60" customHeight="1">
      <c r="A36" s="2" t="inlineStr">
        <is>
          <t>4 Wiring</t>
        </is>
      </c>
      <c r="B36" s="2" t="inlineStr">
        <is>
          <t>Heat-shrink tubing assortment</t>
        </is>
      </c>
      <c r="C36" s="2" t="n">
        <v>1</v>
      </c>
      <c r="D36" s="2" t="n">
        <v>100</v>
      </c>
      <c r="E36" s="2" t="n">
        <v>100</v>
      </c>
      <c r="F36" s="2" t="inlineStr">
        <is>
          <t>One assortment.</t>
        </is>
      </c>
      <c r="G36" s="4" t="inlineStr">
        <is>
          <t>Search — price unverified</t>
        </is>
      </c>
      <c r="H36" s="4" t="inlineStr">
        <is>
          <t>Search — price unverified</t>
        </is>
      </c>
      <c r="I36" s="4" t="inlineStr">
        <is>
          <t>Search — price unverified</t>
        </is>
      </c>
      <c r="J36" s="4" t="inlineStr">
        <is>
          <t>Search — price unverified</t>
        </is>
      </c>
      <c r="K36" s="4" t="inlineStr">
        <is>
          <t>Search — price unverified</t>
        </is>
      </c>
    </row>
    <row r="37" ht="60" customHeight="1">
      <c r="A37" s="3" t="inlineStr">
        <is>
          <t>4 Wiring</t>
        </is>
      </c>
      <c r="B37" s="3" t="inlineStr">
        <is>
          <t>USB-A to USB-B Arduino cable</t>
        </is>
      </c>
      <c r="C37" s="3" t="n">
        <v>1</v>
      </c>
      <c r="D37" s="3" t="n">
        <v>100</v>
      </c>
      <c r="E37" s="3" t="n">
        <v>100</v>
      </c>
      <c r="F37" s="3" t="inlineStr">
        <is>
          <t>Omit if included with board; verify actual board socket.</t>
        </is>
      </c>
      <c r="G37" s="5" t="inlineStr">
        <is>
          <t>Search — price unverified</t>
        </is>
      </c>
      <c r="H37" s="5" t="inlineStr">
        <is>
          <t>Search — price unverified</t>
        </is>
      </c>
      <c r="I37" s="5" t="inlineStr">
        <is>
          <t>Search — price unverified</t>
        </is>
      </c>
      <c r="J37" s="5" t="inlineStr">
        <is>
          <t>Search — price unverified</t>
        </is>
      </c>
      <c r="K37" s="5" t="inlineStr">
        <is>
          <t>Search — price unverified</t>
        </is>
      </c>
    </row>
    <row r="38" ht="60" customHeight="1">
      <c r="A38" s="2" t="inlineStr">
        <is>
          <t>5 Specimens</t>
        </is>
      </c>
      <c r="B38" s="2" t="inlineStr">
        <is>
          <t>Clear solid polycarbonate 5mm sheet, 200 x 40mm coupons</t>
        </is>
      </c>
      <c r="C38" s="2" t="n">
        <v>1</v>
      </c>
      <c r="D38" s="2" t="n">
        <v>500</v>
      </c>
      <c r="E38" s="2" t="n">
        <v>500</v>
      </c>
      <c r="F38" s="2" t="inlineStr">
        <is>
          <t>Material/cutting allowance for several plain coupons, not a quoted sheet price. Actual thickness must be measured.</t>
        </is>
      </c>
      <c r="G38" s="4" t="inlineStr">
        <is>
          <t>Search — price unverified</t>
        </is>
      </c>
      <c r="H38" s="4" t="inlineStr">
        <is>
          <t>Search — price unverified</t>
        </is>
      </c>
      <c r="I38" s="4" t="inlineStr">
        <is>
          <t>Search — price unverified</t>
        </is>
      </c>
      <c r="J38" s="4" t="inlineStr">
        <is>
          <t>Search — price unverified</t>
        </is>
      </c>
      <c r="K38" s="4" t="inlineStr">
        <is>
          <t>Search — price unverified</t>
        </is>
      </c>
    </row>
    <row r="39" ht="60" customHeight="1">
      <c r="A39" s="3" t="inlineStr">
        <is>
          <t>5 Specimens</t>
        </is>
      </c>
      <c r="B39" s="3" t="inlineStr">
        <is>
          <t>Clear cast PMMA acrylic 5mm sheet, 200 x 40mm coupons</t>
        </is>
      </c>
      <c r="C39" s="3" t="n">
        <v>1</v>
      </c>
      <c r="D39" s="3" t="n">
        <v>300</v>
      </c>
      <c r="E39" s="3" t="n">
        <v>300</v>
      </c>
      <c r="F39" s="3" t="inlineStr">
        <is>
          <t>Optional comparison material; material/cutting allowance included in full total.</t>
        </is>
      </c>
      <c r="G39" s="5" t="inlineStr">
        <is>
          <t>Search — price unverified</t>
        </is>
      </c>
      <c r="H39" s="5" t="inlineStr">
        <is>
          <t>Search — price unverified</t>
        </is>
      </c>
      <c r="I39" s="5" t="inlineStr">
        <is>
          <t>Search — price unverified</t>
        </is>
      </c>
      <c r="J39" s="5" t="inlineStr">
        <is>
          <t>Search — price unverified</t>
        </is>
      </c>
      <c r="K39" s="5" t="inlineStr">
        <is>
          <t>Search — price unverified</t>
        </is>
      </c>
    </row>
    <row r="40">
      <c r="A40" s="2" t="inlineStr"/>
      <c r="B40" s="2" t="inlineStr">
        <is>
          <t>UNVERIFIED item subtotal</t>
        </is>
      </c>
      <c r="C40" s="2" t="inlineStr"/>
      <c r="D40" s="2" t="inlineStr"/>
      <c r="E40" s="2" t="n">
        <v>13050</v>
      </c>
      <c r="F40" s="2" t="n"/>
      <c r="G40" s="2" t="n"/>
      <c r="H40" s="2" t="n"/>
      <c r="I40" s="2" t="n"/>
      <c r="J40" s="2" t="n"/>
      <c r="K40" s="2" t="n"/>
    </row>
    <row r="41">
      <c r="A41" s="3" t="inlineStr"/>
      <c r="B41" s="3" t="inlineStr">
        <is>
          <t>15% planning reserve</t>
        </is>
      </c>
      <c r="C41" s="3" t="inlineStr"/>
      <c r="D41" s="3" t="inlineStr"/>
      <c r="E41" s="3" t="n">
        <v>1957.5</v>
      </c>
      <c r="F41" s="3" t="n"/>
      <c r="G41" s="3" t="n"/>
      <c r="H41" s="3" t="n"/>
      <c r="I41" s="3" t="n"/>
      <c r="J41" s="3" t="n"/>
      <c r="K41" s="3" t="n"/>
    </row>
    <row r="42">
      <c r="A42" s="2" t="inlineStr"/>
      <c r="B42" s="2" t="inlineStr">
        <is>
          <t>UNVERIFIED planning total</t>
        </is>
      </c>
      <c r="C42" s="2" t="inlineStr"/>
      <c r="D42" s="2" t="inlineStr"/>
      <c r="E42" s="2" t="n">
        <v>15007.5</v>
      </c>
      <c r="F42" s="2" t="n"/>
      <c r="G42" s="2" t="n"/>
      <c r="H42" s="2" t="n"/>
      <c r="I42" s="2" t="n"/>
      <c r="J42" s="2" t="n"/>
      <c r="K42" s="2" t="n"/>
    </row>
  </sheetData>
  <autoFilter ref="A1:K39"/>
  <hyperlinks>
    <hyperlink xmlns:r="http://schemas.openxmlformats.org/officeDocument/2006/relationships" ref="G2" r:id="rId1"/>
    <hyperlink xmlns:r="http://schemas.openxmlformats.org/officeDocument/2006/relationships" ref="H2" r:id="rId2"/>
    <hyperlink xmlns:r="http://schemas.openxmlformats.org/officeDocument/2006/relationships" ref="I2" r:id="rId3"/>
    <hyperlink xmlns:r="http://schemas.openxmlformats.org/officeDocument/2006/relationships" ref="J2" r:id="rId4"/>
    <hyperlink xmlns:r="http://schemas.openxmlformats.org/officeDocument/2006/relationships" ref="K2" r:id="rId5"/>
    <hyperlink xmlns:r="http://schemas.openxmlformats.org/officeDocument/2006/relationships" ref="G3" r:id="rId6"/>
    <hyperlink xmlns:r="http://schemas.openxmlformats.org/officeDocument/2006/relationships" ref="H3" r:id="rId7"/>
    <hyperlink xmlns:r="http://schemas.openxmlformats.org/officeDocument/2006/relationships" ref="I3" r:id="rId8"/>
    <hyperlink xmlns:r="http://schemas.openxmlformats.org/officeDocument/2006/relationships" ref="J3" r:id="rId9"/>
    <hyperlink xmlns:r="http://schemas.openxmlformats.org/officeDocument/2006/relationships" ref="K3" r:id="rId10"/>
    <hyperlink xmlns:r="http://schemas.openxmlformats.org/officeDocument/2006/relationships" ref="G4" r:id="rId11"/>
    <hyperlink xmlns:r="http://schemas.openxmlformats.org/officeDocument/2006/relationships" ref="H4" r:id="rId12"/>
    <hyperlink xmlns:r="http://schemas.openxmlformats.org/officeDocument/2006/relationships" ref="I4" r:id="rId13"/>
    <hyperlink xmlns:r="http://schemas.openxmlformats.org/officeDocument/2006/relationships" ref="J4" r:id="rId14"/>
    <hyperlink xmlns:r="http://schemas.openxmlformats.org/officeDocument/2006/relationships" ref="K4" r:id="rId15"/>
    <hyperlink xmlns:r="http://schemas.openxmlformats.org/officeDocument/2006/relationships" ref="G5" r:id="rId16"/>
    <hyperlink xmlns:r="http://schemas.openxmlformats.org/officeDocument/2006/relationships" ref="H5" r:id="rId17"/>
    <hyperlink xmlns:r="http://schemas.openxmlformats.org/officeDocument/2006/relationships" ref="I5" r:id="rId18"/>
    <hyperlink xmlns:r="http://schemas.openxmlformats.org/officeDocument/2006/relationships" ref="J5" r:id="rId19"/>
    <hyperlink xmlns:r="http://schemas.openxmlformats.org/officeDocument/2006/relationships" ref="K5" r:id="rId20"/>
    <hyperlink xmlns:r="http://schemas.openxmlformats.org/officeDocument/2006/relationships" ref="G6" r:id="rId21"/>
    <hyperlink xmlns:r="http://schemas.openxmlformats.org/officeDocument/2006/relationships" ref="H6" r:id="rId22"/>
    <hyperlink xmlns:r="http://schemas.openxmlformats.org/officeDocument/2006/relationships" ref="I6" r:id="rId23"/>
    <hyperlink xmlns:r="http://schemas.openxmlformats.org/officeDocument/2006/relationships" ref="J6" r:id="rId24"/>
    <hyperlink xmlns:r="http://schemas.openxmlformats.org/officeDocument/2006/relationships" ref="K6" r:id="rId25"/>
    <hyperlink xmlns:r="http://schemas.openxmlformats.org/officeDocument/2006/relationships" ref="G7" r:id="rId26"/>
    <hyperlink xmlns:r="http://schemas.openxmlformats.org/officeDocument/2006/relationships" ref="H7" r:id="rId27"/>
    <hyperlink xmlns:r="http://schemas.openxmlformats.org/officeDocument/2006/relationships" ref="I7" r:id="rId28"/>
    <hyperlink xmlns:r="http://schemas.openxmlformats.org/officeDocument/2006/relationships" ref="J7" r:id="rId29"/>
    <hyperlink xmlns:r="http://schemas.openxmlformats.org/officeDocument/2006/relationships" ref="K7" r:id="rId30"/>
    <hyperlink xmlns:r="http://schemas.openxmlformats.org/officeDocument/2006/relationships" ref="G8" r:id="rId31"/>
    <hyperlink xmlns:r="http://schemas.openxmlformats.org/officeDocument/2006/relationships" ref="H8" r:id="rId32"/>
    <hyperlink xmlns:r="http://schemas.openxmlformats.org/officeDocument/2006/relationships" ref="I8" r:id="rId33"/>
    <hyperlink xmlns:r="http://schemas.openxmlformats.org/officeDocument/2006/relationships" ref="J8" r:id="rId34"/>
    <hyperlink xmlns:r="http://schemas.openxmlformats.org/officeDocument/2006/relationships" ref="K8" r:id="rId35"/>
    <hyperlink xmlns:r="http://schemas.openxmlformats.org/officeDocument/2006/relationships" ref="G9" r:id="rId36"/>
    <hyperlink xmlns:r="http://schemas.openxmlformats.org/officeDocument/2006/relationships" ref="H9" r:id="rId37"/>
    <hyperlink xmlns:r="http://schemas.openxmlformats.org/officeDocument/2006/relationships" ref="I9" r:id="rId38"/>
    <hyperlink xmlns:r="http://schemas.openxmlformats.org/officeDocument/2006/relationships" ref="J9" r:id="rId39"/>
    <hyperlink xmlns:r="http://schemas.openxmlformats.org/officeDocument/2006/relationships" ref="K9" r:id="rId40"/>
    <hyperlink xmlns:r="http://schemas.openxmlformats.org/officeDocument/2006/relationships" ref="G10" r:id="rId41"/>
    <hyperlink xmlns:r="http://schemas.openxmlformats.org/officeDocument/2006/relationships" ref="H10" r:id="rId42"/>
    <hyperlink xmlns:r="http://schemas.openxmlformats.org/officeDocument/2006/relationships" ref="I10" r:id="rId43"/>
    <hyperlink xmlns:r="http://schemas.openxmlformats.org/officeDocument/2006/relationships" ref="J10" r:id="rId44"/>
    <hyperlink xmlns:r="http://schemas.openxmlformats.org/officeDocument/2006/relationships" ref="K10" r:id="rId45"/>
    <hyperlink xmlns:r="http://schemas.openxmlformats.org/officeDocument/2006/relationships" ref="G11" r:id="rId46"/>
    <hyperlink xmlns:r="http://schemas.openxmlformats.org/officeDocument/2006/relationships" ref="H11" r:id="rId47"/>
    <hyperlink xmlns:r="http://schemas.openxmlformats.org/officeDocument/2006/relationships" ref="I11" r:id="rId48"/>
    <hyperlink xmlns:r="http://schemas.openxmlformats.org/officeDocument/2006/relationships" ref="J11" r:id="rId49"/>
    <hyperlink xmlns:r="http://schemas.openxmlformats.org/officeDocument/2006/relationships" ref="K11" r:id="rId50"/>
    <hyperlink xmlns:r="http://schemas.openxmlformats.org/officeDocument/2006/relationships" ref="G12" r:id="rId51"/>
    <hyperlink xmlns:r="http://schemas.openxmlformats.org/officeDocument/2006/relationships" ref="H12" r:id="rId52"/>
    <hyperlink xmlns:r="http://schemas.openxmlformats.org/officeDocument/2006/relationships" ref="I12" r:id="rId53"/>
    <hyperlink xmlns:r="http://schemas.openxmlformats.org/officeDocument/2006/relationships" ref="J12" r:id="rId54"/>
    <hyperlink xmlns:r="http://schemas.openxmlformats.org/officeDocument/2006/relationships" ref="K12" r:id="rId55"/>
    <hyperlink xmlns:r="http://schemas.openxmlformats.org/officeDocument/2006/relationships" ref="G13" r:id="rId56"/>
    <hyperlink xmlns:r="http://schemas.openxmlformats.org/officeDocument/2006/relationships" ref="H13" r:id="rId57"/>
    <hyperlink xmlns:r="http://schemas.openxmlformats.org/officeDocument/2006/relationships" ref="I13" r:id="rId58"/>
    <hyperlink xmlns:r="http://schemas.openxmlformats.org/officeDocument/2006/relationships" ref="J13" r:id="rId59"/>
    <hyperlink xmlns:r="http://schemas.openxmlformats.org/officeDocument/2006/relationships" ref="K13" r:id="rId60"/>
    <hyperlink xmlns:r="http://schemas.openxmlformats.org/officeDocument/2006/relationships" ref="G14" r:id="rId61"/>
    <hyperlink xmlns:r="http://schemas.openxmlformats.org/officeDocument/2006/relationships" ref="H14" r:id="rId62"/>
    <hyperlink xmlns:r="http://schemas.openxmlformats.org/officeDocument/2006/relationships" ref="I14" r:id="rId63"/>
    <hyperlink xmlns:r="http://schemas.openxmlformats.org/officeDocument/2006/relationships" ref="J14" r:id="rId64"/>
    <hyperlink xmlns:r="http://schemas.openxmlformats.org/officeDocument/2006/relationships" ref="K14" r:id="rId65"/>
    <hyperlink xmlns:r="http://schemas.openxmlformats.org/officeDocument/2006/relationships" ref="G15" r:id="rId66"/>
    <hyperlink xmlns:r="http://schemas.openxmlformats.org/officeDocument/2006/relationships" ref="H15" r:id="rId67"/>
    <hyperlink xmlns:r="http://schemas.openxmlformats.org/officeDocument/2006/relationships" ref="I15" r:id="rId68"/>
    <hyperlink xmlns:r="http://schemas.openxmlformats.org/officeDocument/2006/relationships" ref="J15" r:id="rId69"/>
    <hyperlink xmlns:r="http://schemas.openxmlformats.org/officeDocument/2006/relationships" ref="K15" r:id="rId70"/>
    <hyperlink xmlns:r="http://schemas.openxmlformats.org/officeDocument/2006/relationships" ref="G16" r:id="rId71"/>
    <hyperlink xmlns:r="http://schemas.openxmlformats.org/officeDocument/2006/relationships" ref="H16" r:id="rId72"/>
    <hyperlink xmlns:r="http://schemas.openxmlformats.org/officeDocument/2006/relationships" ref="I16" r:id="rId73"/>
    <hyperlink xmlns:r="http://schemas.openxmlformats.org/officeDocument/2006/relationships" ref="J16" r:id="rId74"/>
    <hyperlink xmlns:r="http://schemas.openxmlformats.org/officeDocument/2006/relationships" ref="K16" r:id="rId75"/>
    <hyperlink xmlns:r="http://schemas.openxmlformats.org/officeDocument/2006/relationships" ref="G17" r:id="rId76"/>
    <hyperlink xmlns:r="http://schemas.openxmlformats.org/officeDocument/2006/relationships" ref="H17" r:id="rId77"/>
    <hyperlink xmlns:r="http://schemas.openxmlformats.org/officeDocument/2006/relationships" ref="I17" r:id="rId78"/>
    <hyperlink xmlns:r="http://schemas.openxmlformats.org/officeDocument/2006/relationships" ref="J17" r:id="rId79"/>
    <hyperlink xmlns:r="http://schemas.openxmlformats.org/officeDocument/2006/relationships" ref="K17" r:id="rId80"/>
    <hyperlink xmlns:r="http://schemas.openxmlformats.org/officeDocument/2006/relationships" ref="G18" r:id="rId81"/>
    <hyperlink xmlns:r="http://schemas.openxmlformats.org/officeDocument/2006/relationships" ref="H18" r:id="rId82"/>
    <hyperlink xmlns:r="http://schemas.openxmlformats.org/officeDocument/2006/relationships" ref="I18" r:id="rId83"/>
    <hyperlink xmlns:r="http://schemas.openxmlformats.org/officeDocument/2006/relationships" ref="J18" r:id="rId84"/>
    <hyperlink xmlns:r="http://schemas.openxmlformats.org/officeDocument/2006/relationships" ref="K18" r:id="rId85"/>
    <hyperlink xmlns:r="http://schemas.openxmlformats.org/officeDocument/2006/relationships" ref="G19" r:id="rId86"/>
    <hyperlink xmlns:r="http://schemas.openxmlformats.org/officeDocument/2006/relationships" ref="H19" r:id="rId87"/>
    <hyperlink xmlns:r="http://schemas.openxmlformats.org/officeDocument/2006/relationships" ref="I19" r:id="rId88"/>
    <hyperlink xmlns:r="http://schemas.openxmlformats.org/officeDocument/2006/relationships" ref="J19" r:id="rId89"/>
    <hyperlink xmlns:r="http://schemas.openxmlformats.org/officeDocument/2006/relationships" ref="K19" r:id="rId90"/>
    <hyperlink xmlns:r="http://schemas.openxmlformats.org/officeDocument/2006/relationships" ref="G20" r:id="rId91"/>
    <hyperlink xmlns:r="http://schemas.openxmlformats.org/officeDocument/2006/relationships" ref="H20" r:id="rId92"/>
    <hyperlink xmlns:r="http://schemas.openxmlformats.org/officeDocument/2006/relationships" ref="I20" r:id="rId93"/>
    <hyperlink xmlns:r="http://schemas.openxmlformats.org/officeDocument/2006/relationships" ref="J20" r:id="rId94"/>
    <hyperlink xmlns:r="http://schemas.openxmlformats.org/officeDocument/2006/relationships" ref="K20" r:id="rId95"/>
    <hyperlink xmlns:r="http://schemas.openxmlformats.org/officeDocument/2006/relationships" ref="G21" r:id="rId96"/>
    <hyperlink xmlns:r="http://schemas.openxmlformats.org/officeDocument/2006/relationships" ref="H21" r:id="rId97"/>
    <hyperlink xmlns:r="http://schemas.openxmlformats.org/officeDocument/2006/relationships" ref="I21" r:id="rId98"/>
    <hyperlink xmlns:r="http://schemas.openxmlformats.org/officeDocument/2006/relationships" ref="J21" r:id="rId99"/>
    <hyperlink xmlns:r="http://schemas.openxmlformats.org/officeDocument/2006/relationships" ref="K21" r:id="rId100"/>
    <hyperlink xmlns:r="http://schemas.openxmlformats.org/officeDocument/2006/relationships" ref="G22" r:id="rId101"/>
    <hyperlink xmlns:r="http://schemas.openxmlformats.org/officeDocument/2006/relationships" ref="H22" r:id="rId102"/>
    <hyperlink xmlns:r="http://schemas.openxmlformats.org/officeDocument/2006/relationships" ref="I22" r:id="rId103"/>
    <hyperlink xmlns:r="http://schemas.openxmlformats.org/officeDocument/2006/relationships" ref="J22" r:id="rId104"/>
    <hyperlink xmlns:r="http://schemas.openxmlformats.org/officeDocument/2006/relationships" ref="K22" r:id="rId105"/>
    <hyperlink xmlns:r="http://schemas.openxmlformats.org/officeDocument/2006/relationships" ref="G23" r:id="rId106"/>
    <hyperlink xmlns:r="http://schemas.openxmlformats.org/officeDocument/2006/relationships" ref="H23" r:id="rId107"/>
    <hyperlink xmlns:r="http://schemas.openxmlformats.org/officeDocument/2006/relationships" ref="I23" r:id="rId108"/>
    <hyperlink xmlns:r="http://schemas.openxmlformats.org/officeDocument/2006/relationships" ref="J23" r:id="rId109"/>
    <hyperlink xmlns:r="http://schemas.openxmlformats.org/officeDocument/2006/relationships" ref="K23" r:id="rId110"/>
    <hyperlink xmlns:r="http://schemas.openxmlformats.org/officeDocument/2006/relationships" ref="G24" r:id="rId111"/>
    <hyperlink xmlns:r="http://schemas.openxmlformats.org/officeDocument/2006/relationships" ref="H24" r:id="rId112"/>
    <hyperlink xmlns:r="http://schemas.openxmlformats.org/officeDocument/2006/relationships" ref="I24" r:id="rId113"/>
    <hyperlink xmlns:r="http://schemas.openxmlformats.org/officeDocument/2006/relationships" ref="J24" r:id="rId114"/>
    <hyperlink xmlns:r="http://schemas.openxmlformats.org/officeDocument/2006/relationships" ref="K24" r:id="rId115"/>
    <hyperlink xmlns:r="http://schemas.openxmlformats.org/officeDocument/2006/relationships" ref="G25" r:id="rId116"/>
    <hyperlink xmlns:r="http://schemas.openxmlformats.org/officeDocument/2006/relationships" ref="H25" r:id="rId117"/>
    <hyperlink xmlns:r="http://schemas.openxmlformats.org/officeDocument/2006/relationships" ref="I25" r:id="rId118"/>
    <hyperlink xmlns:r="http://schemas.openxmlformats.org/officeDocument/2006/relationships" ref="J25" r:id="rId119"/>
    <hyperlink xmlns:r="http://schemas.openxmlformats.org/officeDocument/2006/relationships" ref="K25" r:id="rId120"/>
    <hyperlink xmlns:r="http://schemas.openxmlformats.org/officeDocument/2006/relationships" ref="G26" r:id="rId121"/>
    <hyperlink xmlns:r="http://schemas.openxmlformats.org/officeDocument/2006/relationships" ref="H26" r:id="rId122"/>
    <hyperlink xmlns:r="http://schemas.openxmlformats.org/officeDocument/2006/relationships" ref="I26" r:id="rId123"/>
    <hyperlink xmlns:r="http://schemas.openxmlformats.org/officeDocument/2006/relationships" ref="J26" r:id="rId124"/>
    <hyperlink xmlns:r="http://schemas.openxmlformats.org/officeDocument/2006/relationships" ref="K26" r:id="rId125"/>
    <hyperlink xmlns:r="http://schemas.openxmlformats.org/officeDocument/2006/relationships" ref="G27" r:id="rId126"/>
    <hyperlink xmlns:r="http://schemas.openxmlformats.org/officeDocument/2006/relationships" ref="H27" r:id="rId127"/>
    <hyperlink xmlns:r="http://schemas.openxmlformats.org/officeDocument/2006/relationships" ref="I27" r:id="rId128"/>
    <hyperlink xmlns:r="http://schemas.openxmlformats.org/officeDocument/2006/relationships" ref="J27" r:id="rId129"/>
    <hyperlink xmlns:r="http://schemas.openxmlformats.org/officeDocument/2006/relationships" ref="K27" r:id="rId130"/>
    <hyperlink xmlns:r="http://schemas.openxmlformats.org/officeDocument/2006/relationships" ref="G28" r:id="rId131"/>
    <hyperlink xmlns:r="http://schemas.openxmlformats.org/officeDocument/2006/relationships" ref="H28" r:id="rId132"/>
    <hyperlink xmlns:r="http://schemas.openxmlformats.org/officeDocument/2006/relationships" ref="I28" r:id="rId133"/>
    <hyperlink xmlns:r="http://schemas.openxmlformats.org/officeDocument/2006/relationships" ref="J28" r:id="rId134"/>
    <hyperlink xmlns:r="http://schemas.openxmlformats.org/officeDocument/2006/relationships" ref="K28" r:id="rId135"/>
    <hyperlink xmlns:r="http://schemas.openxmlformats.org/officeDocument/2006/relationships" ref="G29" r:id="rId136"/>
    <hyperlink xmlns:r="http://schemas.openxmlformats.org/officeDocument/2006/relationships" ref="H29" r:id="rId137"/>
    <hyperlink xmlns:r="http://schemas.openxmlformats.org/officeDocument/2006/relationships" ref="I29" r:id="rId138"/>
    <hyperlink xmlns:r="http://schemas.openxmlformats.org/officeDocument/2006/relationships" ref="J29" r:id="rId139"/>
    <hyperlink xmlns:r="http://schemas.openxmlformats.org/officeDocument/2006/relationships" ref="K29" r:id="rId140"/>
    <hyperlink xmlns:r="http://schemas.openxmlformats.org/officeDocument/2006/relationships" ref="G30" r:id="rId141"/>
    <hyperlink xmlns:r="http://schemas.openxmlformats.org/officeDocument/2006/relationships" ref="H30" r:id="rId142"/>
    <hyperlink xmlns:r="http://schemas.openxmlformats.org/officeDocument/2006/relationships" ref="I30" r:id="rId143"/>
    <hyperlink xmlns:r="http://schemas.openxmlformats.org/officeDocument/2006/relationships" ref="J30" r:id="rId144"/>
    <hyperlink xmlns:r="http://schemas.openxmlformats.org/officeDocument/2006/relationships" ref="K30" r:id="rId145"/>
    <hyperlink xmlns:r="http://schemas.openxmlformats.org/officeDocument/2006/relationships" ref="G31" r:id="rId146"/>
    <hyperlink xmlns:r="http://schemas.openxmlformats.org/officeDocument/2006/relationships" ref="H31" r:id="rId147"/>
    <hyperlink xmlns:r="http://schemas.openxmlformats.org/officeDocument/2006/relationships" ref="I31" r:id="rId148"/>
    <hyperlink xmlns:r="http://schemas.openxmlformats.org/officeDocument/2006/relationships" ref="J31" r:id="rId149"/>
    <hyperlink xmlns:r="http://schemas.openxmlformats.org/officeDocument/2006/relationships" ref="K31" r:id="rId150"/>
    <hyperlink xmlns:r="http://schemas.openxmlformats.org/officeDocument/2006/relationships" ref="G32" r:id="rId151"/>
    <hyperlink xmlns:r="http://schemas.openxmlformats.org/officeDocument/2006/relationships" ref="H32" r:id="rId152"/>
    <hyperlink xmlns:r="http://schemas.openxmlformats.org/officeDocument/2006/relationships" ref="I32" r:id="rId153"/>
    <hyperlink xmlns:r="http://schemas.openxmlformats.org/officeDocument/2006/relationships" ref="J32" r:id="rId154"/>
    <hyperlink xmlns:r="http://schemas.openxmlformats.org/officeDocument/2006/relationships" ref="K32" r:id="rId155"/>
    <hyperlink xmlns:r="http://schemas.openxmlformats.org/officeDocument/2006/relationships" ref="G33" r:id="rId156"/>
    <hyperlink xmlns:r="http://schemas.openxmlformats.org/officeDocument/2006/relationships" ref="H33" r:id="rId157"/>
    <hyperlink xmlns:r="http://schemas.openxmlformats.org/officeDocument/2006/relationships" ref="I33" r:id="rId158"/>
    <hyperlink xmlns:r="http://schemas.openxmlformats.org/officeDocument/2006/relationships" ref="J33" r:id="rId159"/>
    <hyperlink xmlns:r="http://schemas.openxmlformats.org/officeDocument/2006/relationships" ref="K33" r:id="rId160"/>
    <hyperlink xmlns:r="http://schemas.openxmlformats.org/officeDocument/2006/relationships" ref="G34" r:id="rId161"/>
    <hyperlink xmlns:r="http://schemas.openxmlformats.org/officeDocument/2006/relationships" ref="H34" r:id="rId162"/>
    <hyperlink xmlns:r="http://schemas.openxmlformats.org/officeDocument/2006/relationships" ref="I34" r:id="rId163"/>
    <hyperlink xmlns:r="http://schemas.openxmlformats.org/officeDocument/2006/relationships" ref="J34" r:id="rId164"/>
    <hyperlink xmlns:r="http://schemas.openxmlformats.org/officeDocument/2006/relationships" ref="K34" r:id="rId165"/>
    <hyperlink xmlns:r="http://schemas.openxmlformats.org/officeDocument/2006/relationships" ref="G35" r:id="rId166"/>
    <hyperlink xmlns:r="http://schemas.openxmlformats.org/officeDocument/2006/relationships" ref="H35" r:id="rId167"/>
    <hyperlink xmlns:r="http://schemas.openxmlformats.org/officeDocument/2006/relationships" ref="I35" r:id="rId168"/>
    <hyperlink xmlns:r="http://schemas.openxmlformats.org/officeDocument/2006/relationships" ref="J35" r:id="rId169"/>
    <hyperlink xmlns:r="http://schemas.openxmlformats.org/officeDocument/2006/relationships" ref="K35" r:id="rId170"/>
    <hyperlink xmlns:r="http://schemas.openxmlformats.org/officeDocument/2006/relationships" ref="G36" r:id="rId171"/>
    <hyperlink xmlns:r="http://schemas.openxmlformats.org/officeDocument/2006/relationships" ref="H36" r:id="rId172"/>
    <hyperlink xmlns:r="http://schemas.openxmlformats.org/officeDocument/2006/relationships" ref="I36" r:id="rId173"/>
    <hyperlink xmlns:r="http://schemas.openxmlformats.org/officeDocument/2006/relationships" ref="J36" r:id="rId174"/>
    <hyperlink xmlns:r="http://schemas.openxmlformats.org/officeDocument/2006/relationships" ref="K36" r:id="rId175"/>
    <hyperlink xmlns:r="http://schemas.openxmlformats.org/officeDocument/2006/relationships" ref="G37" r:id="rId176"/>
    <hyperlink xmlns:r="http://schemas.openxmlformats.org/officeDocument/2006/relationships" ref="H37" r:id="rId177"/>
    <hyperlink xmlns:r="http://schemas.openxmlformats.org/officeDocument/2006/relationships" ref="I37" r:id="rId178"/>
    <hyperlink xmlns:r="http://schemas.openxmlformats.org/officeDocument/2006/relationships" ref="J37" r:id="rId179"/>
    <hyperlink xmlns:r="http://schemas.openxmlformats.org/officeDocument/2006/relationships" ref="K37" r:id="rId180"/>
    <hyperlink xmlns:r="http://schemas.openxmlformats.org/officeDocument/2006/relationships" ref="G38" r:id="rId181"/>
    <hyperlink xmlns:r="http://schemas.openxmlformats.org/officeDocument/2006/relationships" ref="H38" r:id="rId182"/>
    <hyperlink xmlns:r="http://schemas.openxmlformats.org/officeDocument/2006/relationships" ref="I38" r:id="rId183"/>
    <hyperlink xmlns:r="http://schemas.openxmlformats.org/officeDocument/2006/relationships" ref="J38" r:id="rId184"/>
    <hyperlink xmlns:r="http://schemas.openxmlformats.org/officeDocument/2006/relationships" ref="K38" r:id="rId185"/>
    <hyperlink xmlns:r="http://schemas.openxmlformats.org/officeDocument/2006/relationships" ref="G39" r:id="rId186"/>
    <hyperlink xmlns:r="http://schemas.openxmlformats.org/officeDocument/2006/relationships" ref="H39" r:id="rId187"/>
    <hyperlink xmlns:r="http://schemas.openxmlformats.org/officeDocument/2006/relationships" ref="I39" r:id="rId188"/>
    <hyperlink xmlns:r="http://schemas.openxmlformats.org/officeDocument/2006/relationships" ref="J39" r:id="rId189"/>
    <hyperlink xmlns:r="http://schemas.openxmlformats.org/officeDocument/2006/relationships" ref="K39" r:id="rId1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5" customWidth="1" min="1" max="1"/>
    <col width="12" customWidth="1" min="2" max="2"/>
    <col width="24" customWidth="1" min="3" max="3"/>
    <col width="50" customWidth="1" min="4" max="4"/>
    <col width="19" customWidth="1" min="5" max="5"/>
    <col width="22" customWidth="1" min="6" max="6"/>
    <col width="19" customWidth="1" min="7" max="7"/>
    <col width="19" customWidth="1" min="8" max="8"/>
    <col width="60" customWidth="1" min="9" max="9"/>
  </cols>
  <sheetData>
    <row r="1" ht="42" customHeight="1">
      <c r="A1" s="1" t="inlineStr">
        <is>
          <t>Item</t>
        </is>
      </c>
      <c r="B1" s="1" t="inlineStr">
        <is>
          <t>Quantity</t>
        </is>
      </c>
      <c r="C1" s="1" t="inlineStr">
        <is>
          <t>Supplier selected</t>
        </is>
      </c>
      <c r="D1" s="1" t="inlineStr">
        <is>
          <t>Actual product URL</t>
        </is>
      </c>
      <c r="E1" s="1" t="inlineStr">
        <is>
          <t>Quoted unit INR</t>
        </is>
      </c>
      <c r="F1" s="1" t="inlineStr">
        <is>
          <t>Line total INR</t>
        </is>
      </c>
      <c r="G1" s="1" t="inlineStr">
        <is>
          <t>GST included?</t>
        </is>
      </c>
      <c r="H1" s="1" t="inlineStr">
        <is>
          <t>Stock checked?</t>
        </is>
      </c>
      <c r="I1" s="1" t="inlineStr">
        <is>
          <t>Notes / quote date</t>
        </is>
      </c>
    </row>
    <row r="2" ht="45" customHeight="1">
      <c r="A2" s="2" t="inlineStr">
        <is>
          <t>Uno R3 compatible ATmega328P, 5V, 16MHz</t>
        </is>
      </c>
      <c r="B2" s="2" t="n">
        <v>1</v>
      </c>
      <c r="C2" s="2" t="inlineStr"/>
      <c r="D2" s="2" t="inlineStr"/>
      <c r="E2" s="2" t="n"/>
      <c r="F2" s="2">
        <f>IF(E2="","",B2*E2)</f>
        <v/>
      </c>
      <c r="G2" s="2" t="inlineStr"/>
      <c r="H2" s="2" t="inlineStr"/>
      <c r="I2" s="2" t="inlineStr"/>
    </row>
    <row r="3" ht="45" customHeight="1">
      <c r="A3" s="3" t="inlineStr">
        <is>
          <t>A4988 carrier with heatsink</t>
        </is>
      </c>
      <c r="B3" s="3" t="n">
        <v>1</v>
      </c>
      <c r="C3" s="3" t="inlineStr"/>
      <c r="D3" s="3" t="inlineStr"/>
      <c r="E3" s="3" t="n"/>
      <c r="F3" s="3">
        <f>IF(E3="","",B3*E3)</f>
        <v/>
      </c>
      <c r="G3" s="3" t="inlineStr"/>
      <c r="H3" s="3" t="inlineStr"/>
      <c r="I3" s="3" t="inlineStr"/>
    </row>
    <row r="4" ht="45" customHeight="1">
      <c r="A4" s="2" t="inlineStr">
        <is>
          <t>17HS4401 NEMA17 bipolar, 1.8 degree, 4 wire</t>
        </is>
      </c>
      <c r="B4" s="2" t="n">
        <v>1</v>
      </c>
      <c r="C4" s="2" t="inlineStr"/>
      <c r="D4" s="2" t="inlineStr"/>
      <c r="E4" s="2" t="n"/>
      <c r="F4" s="2">
        <f>IF(E4="","",B4*E4)</f>
        <v/>
      </c>
      <c r="G4" s="2" t="inlineStr"/>
      <c r="H4" s="2" t="inlineStr"/>
      <c r="I4" s="2" t="inlineStr"/>
    </row>
    <row r="5" ht="45" customHeight="1">
      <c r="A5" s="3" t="inlineStr">
        <is>
          <t>Logitech C270 HD USB webcam 720p</t>
        </is>
      </c>
      <c r="B5" s="3" t="n">
        <v>1</v>
      </c>
      <c r="C5" s="3" t="inlineStr"/>
      <c r="D5" s="3" t="inlineStr"/>
      <c r="E5" s="3" t="n"/>
      <c r="F5" s="3">
        <f>IF(E5="","",B5*E5)</f>
        <v/>
      </c>
      <c r="G5" s="3" t="inlineStr"/>
      <c r="H5" s="3" t="inlineStr"/>
      <c r="I5" s="3" t="inlineStr"/>
    </row>
    <row r="6" ht="45" customHeight="1">
      <c r="A6" s="2" t="inlineStr">
        <is>
          <t>Isolated regulated 12V DC 3A enclosed adapter</t>
        </is>
      </c>
      <c r="B6" s="2" t="n">
        <v>1</v>
      </c>
      <c r="C6" s="2" t="inlineStr"/>
      <c r="D6" s="2" t="inlineStr"/>
      <c r="E6" s="2" t="n"/>
      <c r="F6" s="2">
        <f>IF(E6="","",B6*E6)</f>
        <v/>
      </c>
      <c r="G6" s="2" t="inlineStr"/>
      <c r="H6" s="2" t="inlineStr"/>
      <c r="I6" s="2" t="inlineStr"/>
    </row>
    <row r="7" ht="45" customHeight="1">
      <c r="A7" s="3" t="inlineStr">
        <is>
          <t>FQP30N06L logic-level N-MOSFET TO-220</t>
        </is>
      </c>
      <c r="B7" s="3" t="n">
        <v>2</v>
      </c>
      <c r="C7" s="3" t="inlineStr"/>
      <c r="D7" s="3" t="inlineStr"/>
      <c r="E7" s="3" t="n"/>
      <c r="F7" s="3">
        <f>IF(E7="","",B7*E7)</f>
        <v/>
      </c>
      <c r="G7" s="3" t="inlineStr"/>
      <c r="H7" s="3" t="inlineStr"/>
      <c r="I7" s="3" t="inlineStr"/>
    </row>
    <row r="8" ht="45" customHeight="1">
      <c r="A8" s="2" t="inlineStr">
        <is>
          <t>Omron SS-5GL SPDT lever microswitch</t>
        </is>
      </c>
      <c r="B8" s="2" t="n">
        <v>2</v>
      </c>
      <c r="C8" s="2" t="inlineStr"/>
      <c r="D8" s="2" t="inlineStr"/>
      <c r="E8" s="2" t="n"/>
      <c r="F8" s="2">
        <f>IF(E8="","",B8*E8)</f>
        <v/>
      </c>
      <c r="G8" s="2" t="inlineStr"/>
      <c r="H8" s="2" t="inlineStr"/>
      <c r="I8" s="2" t="inlineStr"/>
    </row>
    <row r="9" ht="45" customHeight="1">
      <c r="A9" s="3" t="inlineStr">
        <is>
          <t>Visible linear polarizing film 150 x 150 mm non-adhesive</t>
        </is>
      </c>
      <c r="B9" s="3" t="n">
        <v>2</v>
      </c>
      <c r="C9" s="3" t="inlineStr"/>
      <c r="D9" s="3" t="inlineStr"/>
      <c r="E9" s="3" t="n"/>
      <c r="F9" s="3">
        <f>IF(E9="","",B9*E9)</f>
        <v/>
      </c>
      <c r="G9" s="3" t="inlineStr"/>
      <c r="H9" s="3" t="inlineStr"/>
      <c r="I9" s="3" t="inlineStr"/>
    </row>
    <row r="10" ht="45" customHeight="1">
      <c r="A10" s="2" t="inlineStr">
        <is>
          <t>12V white LED backlight panel &gt;=100 x 50 mm, &lt;=0.5A</t>
        </is>
      </c>
      <c r="B10" s="2" t="n">
        <v>1</v>
      </c>
      <c r="C10" s="2" t="inlineStr"/>
      <c r="D10" s="2" t="inlineStr"/>
      <c r="E10" s="2" t="n"/>
      <c r="F10" s="2">
        <f>IF(E10="","",B10*E10)</f>
        <v/>
      </c>
      <c r="G10" s="2" t="inlineStr"/>
      <c r="H10" s="2" t="inlineStr"/>
      <c r="I10" s="2" t="inlineStr"/>
    </row>
    <row r="11" ht="45" customHeight="1">
      <c r="A11" s="3" t="inlineStr">
        <is>
          <t>Opal acrylic diffuser approximately 150 x 100 x 1-2 mm</t>
        </is>
      </c>
      <c r="B11" s="3" t="n">
        <v>1</v>
      </c>
      <c r="C11" s="3" t="inlineStr"/>
      <c r="D11" s="3" t="inlineStr"/>
      <c r="E11" s="3" t="n"/>
      <c r="F11" s="3">
        <f>IF(E11="","",B11*E11)</f>
        <v/>
      </c>
      <c r="G11" s="3" t="inlineStr"/>
      <c r="H11" s="3" t="inlineStr"/>
      <c r="I11" s="3" t="inlineStr"/>
    </row>
    <row r="12" ht="45" customHeight="1">
      <c r="A12" s="2" t="inlineStr">
        <is>
          <t>Fixed polarizing-film holder</t>
        </is>
      </c>
      <c r="B12" s="2" t="n">
        <v>1</v>
      </c>
      <c r="C12" s="2" t="inlineStr"/>
      <c r="D12" s="2" t="inlineStr"/>
      <c r="E12" s="2" t="n"/>
      <c r="F12" s="2">
        <f>IF(E12="","",B12*E12)</f>
        <v/>
      </c>
      <c r="G12" s="2" t="inlineStr"/>
      <c r="H12" s="2" t="inlineStr"/>
      <c r="I12" s="2" t="inlineStr"/>
    </row>
    <row r="13" ht="45" customHeight="1">
      <c r="A13" s="3" t="inlineStr">
        <is>
          <t>Adjustable webcam mount compatible with C270</t>
        </is>
      </c>
      <c r="B13" s="3" t="n">
        <v>1</v>
      </c>
      <c r="C13" s="3" t="inlineStr"/>
      <c r="D13" s="3" t="inlineStr"/>
      <c r="E13" s="3" t="n"/>
      <c r="F13" s="3">
        <f>IF(E13="","",B13*E13)</f>
        <v/>
      </c>
      <c r="G13" s="3" t="inlineStr"/>
      <c r="H13" s="3" t="inlineStr"/>
      <c r="I13" s="3" t="inlineStr"/>
    </row>
    <row r="14" ht="45" customHeight="1">
      <c r="A14" s="2" t="inlineStr">
        <is>
          <t>Matte black enclosure panels / foam board</t>
        </is>
      </c>
      <c r="B14" s="2" t="n">
        <v>1</v>
      </c>
      <c r="C14" s="2" t="inlineStr"/>
      <c r="D14" s="2" t="inlineStr"/>
      <c r="E14" s="2" t="n"/>
      <c r="F14" s="2">
        <f>IF(E14="","",B14*E14)</f>
        <v/>
      </c>
      <c r="G14" s="2" t="inlineStr"/>
      <c r="H14" s="2" t="inlineStr"/>
      <c r="I14" s="2" t="inlineStr"/>
    </row>
    <row r="15" ht="45" customHeight="1">
      <c r="A15" s="3" t="inlineStr">
        <is>
          <t>GT2 20T pulley 2mm pitch, 5mm bore, 6mm belt width</t>
        </is>
      </c>
      <c r="B15" s="3" t="n">
        <v>1</v>
      </c>
      <c r="C15" s="3" t="inlineStr"/>
      <c r="D15" s="3" t="inlineStr"/>
      <c r="E15" s="3" t="n"/>
      <c r="F15" s="3">
        <f>IF(E15="","",B15*E15)</f>
        <v/>
      </c>
      <c r="G15" s="3" t="inlineStr"/>
      <c r="H15" s="3" t="inlineStr"/>
      <c r="I15" s="3" t="inlineStr"/>
    </row>
    <row r="16" ht="45" customHeight="1">
      <c r="A16" s="2" t="inlineStr">
        <is>
          <t>CUSTOM GT2 80T annular analyzer pulley / holder</t>
        </is>
      </c>
      <c r="B16" s="2" t="n">
        <v>1</v>
      </c>
      <c r="C16" s="2" t="inlineStr"/>
      <c r="D16" s="2" t="inlineStr"/>
      <c r="E16" s="2" t="n"/>
      <c r="F16" s="2">
        <f>IF(E16="","",B16*E16)</f>
        <v/>
      </c>
      <c r="G16" s="2" t="inlineStr"/>
      <c r="H16" s="2" t="inlineStr"/>
      <c r="I16" s="2" t="inlineStr"/>
    </row>
    <row r="17" ht="45" customHeight="1">
      <c r="A17" s="3" t="inlineStr">
        <is>
          <t>GT2 closed-loop belt 2mm pitch 6mm wide</t>
        </is>
      </c>
      <c r="B17" s="3" t="n">
        <v>1</v>
      </c>
      <c r="C17" s="3" t="inlineStr"/>
      <c r="D17" s="3" t="inlineStr"/>
      <c r="E17" s="3" t="n"/>
      <c r="F17" s="3">
        <f>IF(E17="","",B17*E17)</f>
        <v/>
      </c>
      <c r="G17" s="3" t="inlineStr"/>
      <c r="H17" s="3" t="inlineStr"/>
      <c r="I17" s="3" t="inlineStr"/>
    </row>
    <row r="18" ht="45" customHeight="1">
      <c r="A18" s="2" t="inlineStr">
        <is>
          <t>Analyzer bearing / roller support assembly</t>
        </is>
      </c>
      <c r="B18" s="2" t="n">
        <v>1</v>
      </c>
      <c r="C18" s="2" t="inlineStr"/>
      <c r="D18" s="2" t="inlineStr"/>
      <c r="E18" s="2" t="n"/>
      <c r="F18" s="2">
        <f>IF(E18="","",B18*E18)</f>
        <v/>
      </c>
      <c r="G18" s="2" t="inlineStr"/>
      <c r="H18" s="2" t="inlineStr"/>
      <c r="I18" s="2" t="inlineStr"/>
    </row>
    <row r="19" ht="45" customHeight="1">
      <c r="A19" s="3" t="inlineStr">
        <is>
          <t>NEMA17 L mounting bracket</t>
        </is>
      </c>
      <c r="B19" s="3" t="n">
        <v>1</v>
      </c>
      <c r="C19" s="3" t="inlineStr"/>
      <c r="D19" s="3" t="inlineStr"/>
      <c r="E19" s="3" t="n"/>
      <c r="F19" s="3">
        <f>IF(E19="","",B19*E19)</f>
        <v/>
      </c>
      <c r="G19" s="3" t="inlineStr"/>
      <c r="H19" s="3" t="inlineStr"/>
      <c r="I19" s="3" t="inlineStr"/>
    </row>
    <row r="20" ht="45" customHeight="1">
      <c r="A20" s="2" t="inlineStr">
        <is>
          <t>Rigid base plate approximately 300 x 200 mm</t>
        </is>
      </c>
      <c r="B20" s="2" t="n">
        <v>1</v>
      </c>
      <c r="C20" s="2" t="inlineStr"/>
      <c r="D20" s="2" t="inlineStr"/>
      <c r="E20" s="2" t="n"/>
      <c r="F20" s="2">
        <f>IF(E20="","",B20*E20)</f>
        <v/>
      </c>
      <c r="G20" s="2" t="inlineStr"/>
      <c r="H20" s="2" t="inlineStr"/>
      <c r="I20" s="2" t="inlineStr"/>
    </row>
    <row r="21" ht="45" customHeight="1">
      <c r="A21" s="3" t="inlineStr">
        <is>
          <t>M3/M4 screws nuts washers spacers assortment</t>
        </is>
      </c>
      <c r="B21" s="3" t="n">
        <v>1</v>
      </c>
      <c r="C21" s="3" t="inlineStr"/>
      <c r="D21" s="3" t="inlineStr"/>
      <c r="E21" s="3" t="n"/>
      <c r="F21" s="3">
        <f>IF(E21="","",B21*E21)</f>
        <v/>
      </c>
      <c r="G21" s="3" t="inlineStr"/>
      <c r="H21" s="3" t="inlineStr"/>
      <c r="I21" s="3" t="inlineStr"/>
    </row>
    <row r="22" ht="45" customHeight="1">
      <c r="A22" s="2" t="inlineStr">
        <is>
          <t>10 kohm 1/4W 1% metal-film resistor</t>
        </is>
      </c>
      <c r="B22" s="2" t="n">
        <v>10</v>
      </c>
      <c r="C22" s="2" t="inlineStr"/>
      <c r="D22" s="2" t="inlineStr"/>
      <c r="E22" s="2" t="n"/>
      <c r="F22" s="2">
        <f>IF(E22="","",B22*E22)</f>
        <v/>
      </c>
      <c r="G22" s="2" t="inlineStr"/>
      <c r="H22" s="2" t="inlineStr"/>
      <c r="I22" s="2" t="inlineStr"/>
    </row>
    <row r="23" ht="45" customHeight="1">
      <c r="A23" s="3" t="inlineStr">
        <is>
          <t>4.7 kohm 1/4W 1% metal-film resistor</t>
        </is>
      </c>
      <c r="B23" s="3" t="n">
        <v>5</v>
      </c>
      <c r="C23" s="3" t="inlineStr"/>
      <c r="D23" s="3" t="inlineStr"/>
      <c r="E23" s="3" t="n"/>
      <c r="F23" s="3">
        <f>IF(E23="","",B23*E23)</f>
        <v/>
      </c>
      <c r="G23" s="3" t="inlineStr"/>
      <c r="H23" s="3" t="inlineStr"/>
      <c r="I23" s="3" t="inlineStr"/>
    </row>
    <row r="24" ht="45" customHeight="1">
      <c r="A24" s="2" t="inlineStr">
        <is>
          <t>100 ohm 1/4W 1% metal-film resistor</t>
        </is>
      </c>
      <c r="B24" s="2" t="n">
        <v>5</v>
      </c>
      <c r="C24" s="2" t="inlineStr"/>
      <c r="D24" s="2" t="inlineStr"/>
      <c r="E24" s="2" t="n"/>
      <c r="F24" s="2">
        <f>IF(E24="","",B24*E24)</f>
        <v/>
      </c>
      <c r="G24" s="2" t="inlineStr"/>
      <c r="H24" s="2" t="inlineStr"/>
      <c r="I24" s="2" t="inlineStr"/>
    </row>
    <row r="25" ht="45" customHeight="1">
      <c r="A25" s="3" t="inlineStr">
        <is>
          <t>100uF 35V radial electrolytic capacitor 105C</t>
        </is>
      </c>
      <c r="B25" s="3" t="n">
        <v>2</v>
      </c>
      <c r="C25" s="3" t="inlineStr"/>
      <c r="D25" s="3" t="inlineStr"/>
      <c r="E25" s="3" t="n"/>
      <c r="F25" s="3">
        <f>IF(E25="","",B25*E25)</f>
        <v/>
      </c>
      <c r="G25" s="3" t="inlineStr"/>
      <c r="H25" s="3" t="inlineStr"/>
      <c r="I25" s="3" t="inlineStr"/>
    </row>
    <row r="26" ht="45" customHeight="1">
      <c r="A26" s="2" t="inlineStr">
        <is>
          <t>100nF 50V X7R ceramic capacitor</t>
        </is>
      </c>
      <c r="B26" s="2" t="n">
        <v>5</v>
      </c>
      <c r="C26" s="2" t="inlineStr"/>
      <c r="D26" s="2" t="inlineStr"/>
      <c r="E26" s="2" t="n"/>
      <c r="F26" s="2">
        <f>IF(E26="","",B26*E26)</f>
        <v/>
      </c>
      <c r="G26" s="2" t="inlineStr"/>
      <c r="H26" s="2" t="inlineStr"/>
      <c r="I26" s="2" t="inlineStr"/>
    </row>
    <row r="27" ht="45" customHeight="1">
      <c r="A27" s="3" t="inlineStr">
        <is>
          <t>SPST power switch rated &gt;=3A at 12V DC</t>
        </is>
      </c>
      <c r="B27" s="3" t="n">
        <v>1</v>
      </c>
      <c r="C27" s="3" t="inlineStr"/>
      <c r="D27" s="3" t="inlineStr"/>
      <c r="E27" s="3" t="n"/>
      <c r="F27" s="3">
        <f>IF(E27="","",B27*E27)</f>
        <v/>
      </c>
      <c r="G27" s="3" t="inlineStr"/>
      <c r="H27" s="3" t="inlineStr"/>
      <c r="I27" s="3" t="inlineStr"/>
    </row>
    <row r="28" ht="45" customHeight="1">
      <c r="A28" s="2" t="inlineStr">
        <is>
          <t>Inline fuse holder</t>
        </is>
      </c>
      <c r="B28" s="2" t="n">
        <v>1</v>
      </c>
      <c r="C28" s="2" t="inlineStr"/>
      <c r="D28" s="2" t="inlineStr"/>
      <c r="E28" s="2" t="n"/>
      <c r="F28" s="2">
        <f>IF(E28="","",B28*E28)</f>
        <v/>
      </c>
      <c r="G28" s="2" t="inlineStr"/>
      <c r="H28" s="2" t="inlineStr"/>
      <c r="I28" s="2" t="inlineStr"/>
    </row>
    <row r="29" ht="45" customHeight="1">
      <c r="A29" s="3" t="inlineStr">
        <is>
          <t>2A fuse with suitable DC voltage rating</t>
        </is>
      </c>
      <c r="B29" s="3" t="n">
        <v>3</v>
      </c>
      <c r="C29" s="3" t="inlineStr"/>
      <c r="D29" s="3" t="inlineStr"/>
      <c r="E29" s="3" t="n"/>
      <c r="F29" s="3">
        <f>IF(E29="","",B29*E29)</f>
        <v/>
      </c>
      <c r="G29" s="3" t="inlineStr"/>
      <c r="H29" s="3" t="inlineStr"/>
      <c r="I29" s="3" t="inlineStr"/>
    </row>
    <row r="30" ht="45" customHeight="1">
      <c r="A30" s="2" t="inlineStr">
        <is>
          <t>5.5 x 2.1mm female DC jack to screw terminal</t>
        </is>
      </c>
      <c r="B30" s="2" t="n">
        <v>1</v>
      </c>
      <c r="C30" s="2" t="inlineStr"/>
      <c r="D30" s="2" t="inlineStr"/>
      <c r="E30" s="2" t="n"/>
      <c r="F30" s="2">
        <f>IF(E30="","",B30*E30)</f>
        <v/>
      </c>
      <c r="G30" s="2" t="inlineStr"/>
      <c r="H30" s="2" t="inlineStr"/>
      <c r="I30" s="2" t="inlineStr"/>
    </row>
    <row r="31" ht="45" customHeight="1">
      <c r="A31" s="3" t="inlineStr">
        <is>
          <t>2-position screw terminal blocks &gt;=3A</t>
        </is>
      </c>
      <c r="B31" s="3" t="n">
        <v>5</v>
      </c>
      <c r="C31" s="3" t="inlineStr"/>
      <c r="D31" s="3" t="inlineStr"/>
      <c r="E31" s="3" t="n"/>
      <c r="F31" s="3">
        <f>IF(E31="","",B31*E31)</f>
        <v/>
      </c>
      <c r="G31" s="3" t="inlineStr"/>
      <c r="H31" s="3" t="inlineStr"/>
      <c r="I31" s="3" t="inlineStr"/>
    </row>
    <row r="32" ht="45" customHeight="1">
      <c r="A32" s="2" t="inlineStr">
        <is>
          <t>24-26 AWG signal hookup wire assortment</t>
        </is>
      </c>
      <c r="B32" s="2" t="n">
        <v>1</v>
      </c>
      <c r="C32" s="2" t="inlineStr"/>
      <c r="D32" s="2" t="inlineStr"/>
      <c r="E32" s="2" t="n"/>
      <c r="F32" s="2">
        <f>IF(E32="","",B32*E32)</f>
        <v/>
      </c>
      <c r="G32" s="2" t="inlineStr"/>
      <c r="H32" s="2" t="inlineStr"/>
      <c r="I32" s="2" t="inlineStr"/>
    </row>
    <row r="33" ht="45" customHeight="1">
      <c r="A33" s="3" t="inlineStr">
        <is>
          <t>20-22 AWG stranded power wire assortment</t>
        </is>
      </c>
      <c r="B33" s="3" t="n">
        <v>1</v>
      </c>
      <c r="C33" s="3" t="inlineStr"/>
      <c r="D33" s="3" t="inlineStr"/>
      <c r="E33" s="3" t="n"/>
      <c r="F33" s="3">
        <f>IF(E33="","",B33*E33)</f>
        <v/>
      </c>
      <c r="G33" s="3" t="inlineStr"/>
      <c r="H33" s="3" t="inlineStr"/>
      <c r="I33" s="3" t="inlineStr"/>
    </row>
    <row r="34" ht="45" customHeight="1">
      <c r="A34" s="2" t="inlineStr">
        <is>
          <t>Male-male and male-female jumper wire set</t>
        </is>
      </c>
      <c r="B34" s="2" t="n">
        <v>1</v>
      </c>
      <c r="C34" s="2" t="inlineStr"/>
      <c r="D34" s="2" t="inlineStr"/>
      <c r="E34" s="2" t="n"/>
      <c r="F34" s="2">
        <f>IF(E34="","",B34*E34)</f>
        <v/>
      </c>
      <c r="G34" s="2" t="inlineStr"/>
      <c r="H34" s="2" t="inlineStr"/>
      <c r="I34" s="2" t="inlineStr"/>
    </row>
    <row r="35" ht="45" customHeight="1">
      <c r="A35" s="3" t="inlineStr">
        <is>
          <t>Solderable perfboard</t>
        </is>
      </c>
      <c r="B35" s="3" t="n">
        <v>2</v>
      </c>
      <c r="C35" s="3" t="inlineStr"/>
      <c r="D35" s="3" t="inlineStr"/>
      <c r="E35" s="3" t="n"/>
      <c r="F35" s="3">
        <f>IF(E35="","",B35*E35)</f>
        <v/>
      </c>
      <c r="G35" s="3" t="inlineStr"/>
      <c r="H35" s="3" t="inlineStr"/>
      <c r="I35" s="3" t="inlineStr"/>
    </row>
    <row r="36" ht="45" customHeight="1">
      <c r="A36" s="2" t="inlineStr">
        <is>
          <t>Heat-shrink tubing assortment</t>
        </is>
      </c>
      <c r="B36" s="2" t="n">
        <v>1</v>
      </c>
      <c r="C36" s="2" t="inlineStr"/>
      <c r="D36" s="2" t="inlineStr"/>
      <c r="E36" s="2" t="n"/>
      <c r="F36" s="2">
        <f>IF(E36="","",B36*E36)</f>
        <v/>
      </c>
      <c r="G36" s="2" t="inlineStr"/>
      <c r="H36" s="2" t="inlineStr"/>
      <c r="I36" s="2" t="inlineStr"/>
    </row>
    <row r="37" ht="45" customHeight="1">
      <c r="A37" s="3" t="inlineStr">
        <is>
          <t>USB-A to USB-B Arduino cable</t>
        </is>
      </c>
      <c r="B37" s="3" t="n">
        <v>1</v>
      </c>
      <c r="C37" s="3" t="inlineStr"/>
      <c r="D37" s="3" t="inlineStr"/>
      <c r="E37" s="3" t="n"/>
      <c r="F37" s="3">
        <f>IF(E37="","",B37*E37)</f>
        <v/>
      </c>
      <c r="G37" s="3" t="inlineStr"/>
      <c r="H37" s="3" t="inlineStr"/>
      <c r="I37" s="3" t="inlineStr"/>
    </row>
    <row r="38" ht="45" customHeight="1">
      <c r="A38" s="2" t="inlineStr">
        <is>
          <t>Clear solid polycarbonate 5mm sheet, 200 x 40mm coupons</t>
        </is>
      </c>
      <c r="B38" s="2" t="n">
        <v>1</v>
      </c>
      <c r="C38" s="2" t="inlineStr"/>
      <c r="D38" s="2" t="inlineStr"/>
      <c r="E38" s="2" t="n"/>
      <c r="F38" s="2">
        <f>IF(E38="","",B38*E38)</f>
        <v/>
      </c>
      <c r="G38" s="2" t="inlineStr"/>
      <c r="H38" s="2" t="inlineStr"/>
      <c r="I38" s="2" t="inlineStr"/>
    </row>
    <row r="39" ht="45" customHeight="1">
      <c r="A39" s="3" t="inlineStr">
        <is>
          <t>Clear cast PMMA acrylic 5mm sheet, 200 x 40mm coupons</t>
        </is>
      </c>
      <c r="B39" s="3" t="n">
        <v>1</v>
      </c>
      <c r="C39" s="3" t="inlineStr"/>
      <c r="D39" s="3" t="inlineStr"/>
      <c r="E39" s="3" t="n"/>
      <c r="F39" s="3">
        <f>IF(E39="","",B39*E39)</f>
        <v/>
      </c>
      <c r="G39" s="3" t="inlineStr"/>
      <c r="H39" s="3" t="inlineStr"/>
      <c r="I39" s="3" t="inlineStr"/>
    </row>
    <row r="40" ht="45" customHeight="1">
      <c r="A40" s="2" t="inlineStr">
        <is>
          <t>ALL ITEMS QUOTED subtotal (otherwise INCOMPLETE)</t>
        </is>
      </c>
      <c r="B40" s="2" t="n"/>
      <c r="C40" s="2" t="n"/>
      <c r="D40" s="2" t="n"/>
      <c r="E40" s="2" t="n"/>
      <c r="F40" s="2">
        <f>IF(COUNT(E2:E39)=COUNTA(A2:A39),SUM(F2:F39),"INCOMPLETE")</f>
        <v/>
      </c>
      <c r="G40" s="2" t="n"/>
      <c r="H40" s="2" t="n"/>
      <c r="I40" s="2" t="n"/>
    </row>
    <row r="41" ht="45" customHeight="1">
      <c r="A41" s="3" t="inlineStr">
        <is>
          <t>Additional GST not already included — enter verified amount (or 0)</t>
        </is>
      </c>
      <c r="B41" s="3" t="n"/>
      <c r="C41" s="3" t="n"/>
      <c r="D41" s="3" t="n"/>
      <c r="E41" s="3" t="n"/>
      <c r="F41" s="3" t="n"/>
      <c r="G41" s="3" t="n"/>
      <c r="H41" s="3" t="n"/>
      <c r="I41" s="3" t="n"/>
    </row>
    <row r="42" ht="45" customHeight="1">
      <c r="A42" s="2" t="inlineStr">
        <is>
          <t>Total shipping / delivery — enter verified amount (or 0)</t>
        </is>
      </c>
      <c r="B42" s="2" t="n"/>
      <c r="C42" s="2" t="n"/>
      <c r="D42" s="2" t="n"/>
      <c r="E42" s="2" t="n"/>
      <c r="F42" s="2" t="n"/>
      <c r="G42" s="2" t="n"/>
      <c r="H42" s="2" t="n"/>
      <c r="I42" s="2" t="n"/>
    </row>
    <row r="43" ht="45" customHeight="1">
      <c r="A43" s="3" t="inlineStr">
        <is>
          <t>FINAL DELIVERED TOTAL — only when all amounts supplied</t>
        </is>
      </c>
      <c r="B43" s="3" t="n"/>
      <c r="C43" s="3" t="n"/>
      <c r="D43" s="3" t="n"/>
      <c r="E43" s="3" t="n"/>
      <c r="F43" s="3">
        <f>IF(AND(ISNUMBER(F40),ISNUMBER(F41),ISNUMBER(F42)),SUM(F40:F42),"INCOMPLETE")</f>
        <v/>
      </c>
      <c r="G43" s="3" t="n"/>
      <c r="H43" s="3" t="n"/>
      <c r="I4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2026-10-18T07:02:37Z</dcterms:created>
  <dcterms:modified xmlns:dcterms="http://purl.org/dc/terms/" xmlns:xsi="http://www.w3.org/2001/XMLSchema-instance" xsi:type="dcterms:W3CDTF">2026-10-18T07:02:37Z</dcterms:modified>
</cp:coreProperties>
</file>